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rambagh\"/>
    </mc:Choice>
  </mc:AlternateContent>
  <xr:revisionPtr revIDLastSave="0" documentId="8_{F8471C51-7B97-4B2B-AC29-DC59608D7551}" xr6:coauthVersionLast="47" xr6:coauthVersionMax="47" xr10:uidLastSave="{00000000-0000-0000-0000-000000000000}"/>
  <bookViews>
    <workbookView xWindow="228" yWindow="1056" windowWidth="22812" windowHeight="11184" activeTab="1" xr2:uid="{0D029F3F-BB8D-4759-837C-1830E6230AFD}"/>
  </bookViews>
  <sheets>
    <sheet name="bike_sales_UNCLEAN" sheetId="1" r:id="rId1"/>
    <sheet name="bike_sales_CLEAN " sheetId="2" r:id="rId2"/>
    <sheet name="Formula and Functions" sheetId="3" r:id="rId3"/>
    <sheet name="Pivot table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3" l="1" a="1"/>
  <c r="A38" i="3" s="1"/>
  <c r="K18" i="3"/>
  <c r="K19" i="3"/>
  <c r="K20" i="3"/>
  <c r="K21" i="3"/>
  <c r="K22" i="3"/>
  <c r="K23" i="3"/>
  <c r="K24" i="3"/>
  <c r="K25" i="3"/>
  <c r="K17" i="3"/>
  <c r="K4" i="3" a="1"/>
  <c r="K4" i="3"/>
  <c r="K5" i="3" a="1"/>
  <c r="K5" i="3"/>
  <c r="K6" i="3" a="1"/>
  <c r="K6" i="3"/>
  <c r="K7" i="3" a="1"/>
  <c r="K7" i="3"/>
  <c r="K8" i="3" a="1"/>
  <c r="K8" i="3"/>
  <c r="K9" i="3" a="1"/>
  <c r="K9" i="3"/>
  <c r="K10" i="3" a="1"/>
  <c r="K10" i="3"/>
  <c r="K11" i="3" a="1"/>
  <c r="K11" i="3"/>
  <c r="K3" i="3" a="1"/>
  <c r="K3" i="3" s="1"/>
  <c r="E18" i="3" a="1"/>
  <c r="E18" i="3" s="1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 s="1"/>
  <c r="E17" i="3" a="1"/>
  <c r="E17" i="3" s="1"/>
  <c r="D18" i="3"/>
  <c r="D19" i="3"/>
  <c r="D20" i="3"/>
  <c r="D21" i="3"/>
  <c r="D22" i="3"/>
  <c r="D23" i="3"/>
  <c r="D24" i="3"/>
  <c r="D25" i="3"/>
  <c r="D17" i="3"/>
  <c r="C18" i="3"/>
  <c r="C19" i="3"/>
  <c r="C20" i="3"/>
  <c r="C21" i="3"/>
  <c r="C22" i="3"/>
  <c r="C23" i="3"/>
  <c r="C24" i="3"/>
  <c r="C25" i="3"/>
  <c r="C17" i="3"/>
  <c r="B18" i="3"/>
  <c r="B19" i="3"/>
  <c r="B20" i="3"/>
  <c r="B21" i="3"/>
  <c r="B22" i="3"/>
  <c r="B23" i="3"/>
  <c r="B24" i="3"/>
  <c r="B25" i="3"/>
  <c r="B17" i="3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3" i="3" a="1"/>
  <c r="C3" i="3" s="1"/>
  <c r="B4" i="3"/>
  <c r="B5" i="3"/>
  <c r="B6" i="3"/>
  <c r="B7" i="3"/>
  <c r="B8" i="3"/>
  <c r="B9" i="3"/>
  <c r="B10" i="3"/>
  <c r="B11" i="3"/>
  <c r="B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<sst xmlns="http://schemas.openxmlformats.org/spreadsheetml/2006/main" count="1293" uniqueCount="254">
  <si>
    <t>Sales_Order #</t>
  </si>
  <si>
    <t>Date_Combined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</si>
  <si>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</si>
  <si>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</si>
  <si>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</si>
  <si>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</si>
  <si>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</si>
  <si>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</si>
  <si>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</si>
  <si>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</si>
  <si>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</si>
  <si>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>Unit_Cost</t>
  </si>
  <si>
    <t>Unit_Price</t>
  </si>
  <si>
    <t>Profit</t>
  </si>
  <si>
    <t>Cost</t>
  </si>
  <si>
    <t>Revenue</t>
  </si>
  <si>
    <t>Female</t>
  </si>
  <si>
    <t xml:space="preserve"> Australia </t>
  </si>
  <si>
    <t>Queensland</t>
  </si>
  <si>
    <t>BIKES</t>
  </si>
  <si>
    <t xml:space="preserve"> MOUNTAIN BIKES </t>
  </si>
  <si>
    <t>Mountain-200 Black, 46</t>
  </si>
  <si>
    <t>ADULTS (35-64)</t>
  </si>
  <si>
    <t xml:space="preserve"> United States </t>
  </si>
  <si>
    <t xml:space="preserve">  CALIFORNIA</t>
  </si>
  <si>
    <t>MOUNTAIN BIKES</t>
  </si>
  <si>
    <t>Mountain-500 Black, 42</t>
  </si>
  <si>
    <t>young adults (25-34)</t>
  </si>
  <si>
    <t xml:space="preserve">  AUSTRALIA</t>
  </si>
  <si>
    <t xml:space="preserve">VICTORIA </t>
  </si>
  <si>
    <t>Mountain-100 Black, 38</t>
  </si>
  <si>
    <t>Male</t>
  </si>
  <si>
    <t xml:space="preserve">Australia  </t>
  </si>
  <si>
    <t>QUEENSLAND</t>
  </si>
  <si>
    <t>Bikes</t>
  </si>
  <si>
    <t>Mountain Bikes</t>
  </si>
  <si>
    <t xml:space="preserve">  Mountain-200 Black, 46</t>
  </si>
  <si>
    <t>adults (35-64)</t>
  </si>
  <si>
    <t xml:space="preserve">  United States</t>
  </si>
  <si>
    <t xml:space="preserve">California </t>
  </si>
  <si>
    <t>bikes</t>
  </si>
  <si>
    <t xml:space="preserve">Mountain Bikes </t>
  </si>
  <si>
    <t xml:space="preserve">  NEW SOUTH WALES</t>
  </si>
  <si>
    <t xml:space="preserve">  Mountain Bikes</t>
  </si>
  <si>
    <t xml:space="preserve">Mountain-200 Black, 42  </t>
  </si>
  <si>
    <t xml:space="preserve"> washington </t>
  </si>
  <si>
    <t>Mountain-200 Silver, 42</t>
  </si>
  <si>
    <t xml:space="preserve">United States  </t>
  </si>
  <si>
    <t xml:space="preserve">Mountain-500 Silver, 40  </t>
  </si>
  <si>
    <t>Adults (35-64)</t>
  </si>
  <si>
    <t xml:space="preserve">  germany</t>
  </si>
  <si>
    <t xml:space="preserve">NORDRHEIN-WESTFALEN </t>
  </si>
  <si>
    <t xml:space="preserve">  MOUNTAIN BIKES</t>
  </si>
  <si>
    <t>Mountain-200 Black, 38</t>
  </si>
  <si>
    <t>YOUNG ADULTS (25-34)</t>
  </si>
  <si>
    <t>United States</t>
  </si>
  <si>
    <t xml:space="preserve">WASHINGTON  </t>
  </si>
  <si>
    <t xml:space="preserve">MOUNTAIN BIKES  </t>
  </si>
  <si>
    <t xml:space="preserve">Mountain-200 Silver, 38  </t>
  </si>
  <si>
    <t xml:space="preserve">Germany </t>
  </si>
  <si>
    <t xml:space="preserve"> Hessen </t>
  </si>
  <si>
    <t xml:space="preserve">Mountain Bikes  </t>
  </si>
  <si>
    <t xml:space="preserve">NEW SOUTH WALES  </t>
  </si>
  <si>
    <t>Mountain-500 Silver, 42</t>
  </si>
  <si>
    <t>youth (&lt;25)</t>
  </si>
  <si>
    <t>AUSTRALIA</t>
  </si>
  <si>
    <t xml:space="preserve">mountain bikes  </t>
  </si>
  <si>
    <t xml:space="preserve"> Mountain-500 Silver, 42 </t>
  </si>
  <si>
    <t>Young Adults (25-34)</t>
  </si>
  <si>
    <t xml:space="preserve">  australia</t>
  </si>
  <si>
    <t xml:space="preserve">victoria  </t>
  </si>
  <si>
    <t>mountain bikes</t>
  </si>
  <si>
    <t>Mountain-400-W Silver, 46</t>
  </si>
  <si>
    <t xml:space="preserve">United States </t>
  </si>
  <si>
    <t xml:space="preserve">California  </t>
  </si>
  <si>
    <t xml:space="preserve"> Mountain-200 Black, 46 </t>
  </si>
  <si>
    <t xml:space="preserve">United  States </t>
  </si>
  <si>
    <t xml:space="preserve"> California </t>
  </si>
  <si>
    <t>california</t>
  </si>
  <si>
    <t xml:space="preserve">Mountain-500 Black, 40  </t>
  </si>
  <si>
    <t xml:space="preserve">Australia </t>
  </si>
  <si>
    <t xml:space="preserve">Victoria  </t>
  </si>
  <si>
    <t xml:space="preserve">Mountain-200 Silver, 42  </t>
  </si>
  <si>
    <t xml:space="preserve">OREGON  </t>
  </si>
  <si>
    <t xml:space="preserve"> Mountain Bikes </t>
  </si>
  <si>
    <t xml:space="preserve"> Mountain-200 Black, 38 </t>
  </si>
  <si>
    <t xml:space="preserve">new south wales  </t>
  </si>
  <si>
    <t xml:space="preserve">Mountain-200 Black, 42 </t>
  </si>
  <si>
    <t xml:space="preserve">  UNITED KINGDOM</t>
  </si>
  <si>
    <t>england</t>
  </si>
  <si>
    <t xml:space="preserve">Mountain-400-W Silver, 46  </t>
  </si>
  <si>
    <t>Washington</t>
  </si>
  <si>
    <t xml:space="preserve">Mountain-200 Silver, 38 </t>
  </si>
  <si>
    <t>australia</t>
  </si>
  <si>
    <t xml:space="preserve"> New South Wales </t>
  </si>
  <si>
    <t xml:space="preserve">canada </t>
  </si>
  <si>
    <t xml:space="preserve">British Columbia  </t>
  </si>
  <si>
    <t xml:space="preserve">mountain bikes </t>
  </si>
  <si>
    <t xml:space="preserve">Mountain-200 Black, 46 </t>
  </si>
  <si>
    <t>Australia</t>
  </si>
  <si>
    <t xml:space="preserve">Queensland </t>
  </si>
  <si>
    <t xml:space="preserve">  mountain bikes</t>
  </si>
  <si>
    <t xml:space="preserve">united kingdom  </t>
  </si>
  <si>
    <t xml:space="preserve">  England</t>
  </si>
  <si>
    <t xml:space="preserve">MOUNTAIN BIKES </t>
  </si>
  <si>
    <t>16--2021</t>
  </si>
  <si>
    <t xml:space="preserve">AUSTRALIA </t>
  </si>
  <si>
    <t xml:space="preserve">New South Wales  </t>
  </si>
  <si>
    <t>Youth (&lt;25)</t>
  </si>
  <si>
    <t xml:space="preserve"> france </t>
  </si>
  <si>
    <t>SEINE (PARIS)</t>
  </si>
  <si>
    <t xml:space="preserve">  Mountain-200 Black, 38</t>
  </si>
  <si>
    <t>CALIFORNIA</t>
  </si>
  <si>
    <t xml:space="preserve">Mountain-200 Black, 46  </t>
  </si>
  <si>
    <t xml:space="preserve">australia </t>
  </si>
  <si>
    <t xml:space="preserve">  VICTORIA</t>
  </si>
  <si>
    <t xml:space="preserve">  Mountain-500 Black, 44</t>
  </si>
  <si>
    <t xml:space="preserve">United Kingdom </t>
  </si>
  <si>
    <t xml:space="preserve">England  </t>
  </si>
  <si>
    <t>YOUTH (&lt;25)</t>
  </si>
  <si>
    <t xml:space="preserve">South Australia  </t>
  </si>
  <si>
    <t xml:space="preserve"> Mountain-500 Black, 40 </t>
  </si>
  <si>
    <t>Germany</t>
  </si>
  <si>
    <t xml:space="preserve">  HESSEN</t>
  </si>
  <si>
    <t xml:space="preserve"> Mountain-200 Silver, 38 </t>
  </si>
  <si>
    <t xml:space="preserve">england  </t>
  </si>
  <si>
    <t xml:space="preserve">  Mountain-200 Silver, 38</t>
  </si>
  <si>
    <t>Victoria</t>
  </si>
  <si>
    <t xml:space="preserve">  california</t>
  </si>
  <si>
    <t xml:space="preserve">  WASHINGTON</t>
  </si>
  <si>
    <t xml:space="preserve">New South Wales </t>
  </si>
  <si>
    <t xml:space="preserve">Mountain-400-W Silver, 42  </t>
  </si>
  <si>
    <t xml:space="preserve">Mountain-200 Black, 38 </t>
  </si>
  <si>
    <t xml:space="preserve">AUSTRALIA  </t>
  </si>
  <si>
    <t xml:space="preserve">  new south wales</t>
  </si>
  <si>
    <t xml:space="preserve">Mountain-500 Silver, 42 </t>
  </si>
  <si>
    <t xml:space="preserve">  france</t>
  </si>
  <si>
    <t xml:space="preserve"> SOMME </t>
  </si>
  <si>
    <t>10--2021</t>
  </si>
  <si>
    <t xml:space="preserve">CALIFORNIA  </t>
  </si>
  <si>
    <t xml:space="preserve"> United Kingdom </t>
  </si>
  <si>
    <t xml:space="preserve">  ENGLAND</t>
  </si>
  <si>
    <t xml:space="preserve">  Mountain-400-W Silver, 46</t>
  </si>
  <si>
    <t xml:space="preserve">GERMANY  </t>
  </si>
  <si>
    <t xml:space="preserve">Hamburg </t>
  </si>
  <si>
    <t>new south wales</t>
  </si>
  <si>
    <t xml:space="preserve">  Mountain-400-W Silver, 42</t>
  </si>
  <si>
    <t>7-Decmber-2021</t>
  </si>
  <si>
    <t xml:space="preserve">CALIFORNIA </t>
  </si>
  <si>
    <t>Mountain-400-W Silver, 38</t>
  </si>
  <si>
    <t>New South Wales</t>
  </si>
  <si>
    <t xml:space="preserve">australia  </t>
  </si>
  <si>
    <t xml:space="preserve">NEW SOUTH WALES </t>
  </si>
  <si>
    <t xml:space="preserve">Oregon </t>
  </si>
  <si>
    <t xml:space="preserve">United States   </t>
  </si>
  <si>
    <t xml:space="preserve">Washington  </t>
  </si>
  <si>
    <t xml:space="preserve">france  </t>
  </si>
  <si>
    <t xml:space="preserve">Nord  </t>
  </si>
  <si>
    <t xml:space="preserve">Mountain-200 Silver, 46  </t>
  </si>
  <si>
    <t>NEW SOUTH WALES</t>
  </si>
  <si>
    <t>CANADA</t>
  </si>
  <si>
    <t xml:space="preserve">  BRITISH COLUMBIA</t>
  </si>
  <si>
    <t xml:space="preserve">  Germany</t>
  </si>
  <si>
    <t xml:space="preserve">  Mountain-200 Silver, 46</t>
  </si>
  <si>
    <t xml:space="preserve"> GERMANY </t>
  </si>
  <si>
    <t xml:space="preserve">  nordrhein-westfalen</t>
  </si>
  <si>
    <t xml:space="preserve">  United Kingdom</t>
  </si>
  <si>
    <t xml:space="preserve">Mountain-200 Black, 38  </t>
  </si>
  <si>
    <t xml:space="preserve">  New South Wales</t>
  </si>
  <si>
    <t xml:space="preserve">  France</t>
  </si>
  <si>
    <t xml:space="preserve">Seine (Paris)  </t>
  </si>
  <si>
    <t xml:space="preserve">  California</t>
  </si>
  <si>
    <t>OREGON</t>
  </si>
  <si>
    <t xml:space="preserve">  Mountain-100 Black, 48</t>
  </si>
  <si>
    <t xml:space="preserve">  Washington</t>
  </si>
  <si>
    <t xml:space="preserve"> QUEENSLAND </t>
  </si>
  <si>
    <t xml:space="preserve">QUEENSLAND </t>
  </si>
  <si>
    <t xml:space="preserve">Mountain-200 Silver, 42 </t>
  </si>
  <si>
    <t xml:space="preserve">ENGLAND </t>
  </si>
  <si>
    <t>Mountain-400-W Silver, 42</t>
  </si>
  <si>
    <t xml:space="preserve"> california </t>
  </si>
  <si>
    <t xml:space="preserve">  Mountain-200 Silver, 42</t>
  </si>
  <si>
    <t xml:space="preserve"> AUSTRALIA </t>
  </si>
  <si>
    <t xml:space="preserve">  Mountain-200 Black, 42</t>
  </si>
  <si>
    <t xml:space="preserve">  FRANCE</t>
  </si>
  <si>
    <t xml:space="preserve">  SEINE SAINT DENIS</t>
  </si>
  <si>
    <t>19--2021</t>
  </si>
  <si>
    <t>12--2021</t>
  </si>
  <si>
    <t xml:space="preserve"> Mountain-400-W Silver, 46 </t>
  </si>
  <si>
    <t xml:space="preserve">WASHINGTON </t>
  </si>
  <si>
    <t>Mountain-100 Silver, 44</t>
  </si>
  <si>
    <t xml:space="preserve">United Kingdom  </t>
  </si>
  <si>
    <t>ENGLAND</t>
  </si>
  <si>
    <t xml:space="preserve">  washington</t>
  </si>
  <si>
    <t xml:space="preserve"> mountain bikes </t>
  </si>
  <si>
    <t xml:space="preserve"> OREGON </t>
  </si>
  <si>
    <t xml:space="preserve">  United States </t>
  </si>
  <si>
    <t xml:space="preserve">VICTORIA  </t>
  </si>
  <si>
    <t xml:space="preserve">  Mountain-500 Black, 42</t>
  </si>
  <si>
    <t xml:space="preserve">  Canada</t>
  </si>
  <si>
    <t xml:space="preserve">british columbia  </t>
  </si>
  <si>
    <t xml:space="preserve">  Mountain-500 Black, 52</t>
  </si>
  <si>
    <t>canada</t>
  </si>
  <si>
    <t xml:space="preserve">  British Columbia</t>
  </si>
  <si>
    <t xml:space="preserve">  Seine (Paris)</t>
  </si>
  <si>
    <t xml:space="preserve">canada  </t>
  </si>
  <si>
    <t xml:space="preserve"> british columbia </t>
  </si>
  <si>
    <t>18--2021</t>
  </si>
  <si>
    <t>France</t>
  </si>
  <si>
    <t xml:space="preserve">SEINE (PARIS)  </t>
  </si>
  <si>
    <t>6--2021</t>
  </si>
  <si>
    <t xml:space="preserve"> CANADA </t>
  </si>
  <si>
    <t xml:space="preserve">seine et marne  </t>
  </si>
  <si>
    <t>United Kingdom</t>
  </si>
  <si>
    <t>Canada</t>
  </si>
  <si>
    <t>California</t>
  </si>
  <si>
    <t>Hessen</t>
  </si>
  <si>
    <t>British Columbia</t>
  </si>
  <si>
    <t>England</t>
  </si>
  <si>
    <t>South Australia</t>
  </si>
  <si>
    <t>Hamburg</t>
  </si>
  <si>
    <t>Oregon</t>
  </si>
  <si>
    <t>Nord</t>
  </si>
  <si>
    <t>Seine (Paris)</t>
  </si>
  <si>
    <t>States</t>
  </si>
  <si>
    <t>Mountain-200 Black, 42</t>
  </si>
  <si>
    <t>Mountain-500 Silver, 40</t>
  </si>
  <si>
    <t>Mountain-200 Silver, 38</t>
  </si>
  <si>
    <t>Mountain-500 Black, 40</t>
  </si>
  <si>
    <t>Mountain-500 Black, 44</t>
  </si>
  <si>
    <t>Mountain-200 Silver, 46</t>
  </si>
  <si>
    <t>Mountain-100 Black, 48</t>
  </si>
  <si>
    <t>Mountain-500 Black, 52</t>
  </si>
  <si>
    <t>Nordrhein-Westfalen</t>
  </si>
  <si>
    <t>Somme</t>
  </si>
  <si>
    <t>Seine Saint Denis</t>
  </si>
  <si>
    <t>Seine Et Marne</t>
  </si>
  <si>
    <t>Moutain Bikes</t>
  </si>
  <si>
    <t>Null</t>
  </si>
  <si>
    <t>Vlookup Formula</t>
  </si>
  <si>
    <t>Xlookup  Formula</t>
  </si>
  <si>
    <t>Performance status</t>
  </si>
  <si>
    <t>IFS FORMULA</t>
  </si>
  <si>
    <t>IF FORMULA</t>
  </si>
  <si>
    <t>Profit Status</t>
  </si>
  <si>
    <t>Grand Total</t>
  </si>
  <si>
    <t>Sum of Revenue</t>
  </si>
  <si>
    <t>Sum of Cost</t>
  </si>
  <si>
    <t>Sum of Profit</t>
  </si>
  <si>
    <t>Sum of Unit_Price</t>
  </si>
  <si>
    <t>Sum of Unit_Cost</t>
  </si>
  <si>
    <t>country</t>
  </si>
  <si>
    <t>Filter Formula</t>
  </si>
  <si>
    <t>Select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</si>
</sst>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[$$-409]* #,##0.00_ ;_-[$$-409]* \-#,##0.00\ ;_-[$$-409]* &quot;-&quot;??_ ;_-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15" fontId="0" fillId="0" borderId="0" xfId="0" applyNumberFormat="1"/>
    <xf numFmtId="0" fontId="0" fillId="33" borderId="0" xfId="0" applyFill="1"/>
    <xf numFmtId="15" fontId="0" fillId="33" borderId="0" xfId="0" applyNumberFormat="1" applyFill="1"/>
    <xf numFmtId="0" fontId="0" fillId="34" borderId="0" xfId="0" applyFill="1"/>
    <xf numFmtId="0" fontId="0" fillId="0" borderId="10" xfId="0" applyBorder="1"/>
    <xf numFmtId="15" fontId="0" fillId="0" borderId="10" xfId="0" applyNumberFormat="1" applyBorder="1"/>
    <xf numFmtId="0" fontId="18" fillId="35" borderId="10" xfId="0" applyFont="1" applyFill="1" applyBorder="1"/>
    <xf numFmtId="164" fontId="18" fillId="35" borderId="10" xfId="0" applyNumberFormat="1" applyFont="1" applyFill="1" applyBorder="1"/>
    <xf numFmtId="164" fontId="0" fillId="0" borderId="10" xfId="0" applyNumberFormat="1" applyBorder="1"/>
    <xf numFmtId="164" fontId="0" fillId="0" borderId="0" xfId="0" applyNumberFormat="1"/>
    <xf numFmtId="164" fontId="18" fillId="35" borderId="10" xfId="43" applyNumberFormat="1" applyFont="1" applyFill="1" applyBorder="1"/>
    <xf numFmtId="164" fontId="0" fillId="0" borderId="10" xfId="43" applyNumberFormat="1" applyFont="1" applyBorder="1"/>
    <xf numFmtId="164" fontId="0" fillId="0" borderId="0" xfId="43" applyNumberFormat="1" applyFont="1"/>
    <xf numFmtId="164" fontId="18" fillId="35" borderId="10" xfId="43" applyNumberFormat="1" applyFont="1" applyFill="1" applyBorder="1" applyAlignment="1">
      <alignment horizontal="center"/>
    </xf>
    <xf numFmtId="164" fontId="0" fillId="0" borderId="10" xfId="43" applyNumberFormat="1" applyFont="1" applyBorder="1" applyAlignment="1">
      <alignment horizontal="center"/>
    </xf>
    <xf numFmtId="164" fontId="0" fillId="0" borderId="0" xfId="43" applyNumberFormat="1" applyFont="1" applyAlignment="1">
      <alignment horizontal="center"/>
    </xf>
    <xf numFmtId="43" fontId="0" fillId="0" borderId="10" xfId="42" applyFont="1" applyBorder="1"/>
    <xf numFmtId="14" fontId="0" fillId="0" borderId="10" xfId="0" applyNumberFormat="1" applyBorder="1"/>
    <xf numFmtId="0" fontId="0" fillId="0" borderId="0" xfId="0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3" fillId="36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3" fillId="36" borderId="10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/>
    </xf>
    <xf numFmtId="0" fontId="22" fillId="37" borderId="0" xfId="0" applyFont="1" applyFill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2.587542592591" createdVersion="8" refreshedVersion="8" minRefreshableVersion="3" recordCount="78" xr:uid="{1B5C82E0-20B8-462D-94B9-3EE90DC022BD}">
  <cacheSource type="worksheet">
    <worksheetSource ref="A1:P79" sheet="Pivot table"/>
  </cacheSource>
  <cacheFields count="19">
    <cacheField name="Sales_Order #" numFmtId="0">
      <sharedItems containsSemiMixedTypes="0" containsString="0" containsNumber="1" containsInteger="1" minValue="261695" maxValue="261782"/>
    </cacheField>
    <cacheField name="Date_Combined" numFmtId="0">
      <sharedItems containsSemiMixedTypes="0" containsNonDate="0" containsDate="1" containsString="0" minDate="1899-12-30T00:00:00" maxDate="2021-12-27T00:00:00" count="27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1899-12-30T00:00:00"/>
      </sharedItems>
      <fieldGroup par="18"/>
    </cacheField>
    <cacheField name="Customer_Age" numFmtId="0">
      <sharedItems containsSemiMixedTypes="0" containsString="0" containsNumber="1" containsInteger="1" minValue="0" maxValue="63"/>
    </cacheField>
    <cacheField name="Age_Group" numFmtId="0">
      <sharedItems count="4">
        <s v="Adults (35-64)"/>
        <s v="Young Adults (25-34)"/>
        <s v="Youth (&lt;25)"/>
        <s v="Null"/>
      </sharedItems>
    </cacheField>
    <cacheField name="Customer_Gender" numFmtId="0">
      <sharedItems count="2">
        <s v="Female"/>
        <s v="Male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s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 count="1">
        <s v="Bikes"/>
      </sharedItems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0" maxValue="4"/>
    </cacheField>
    <cacheField name="Unit_Cost" numFmtId="164">
      <sharedItems containsSemiMixedTypes="0" containsString="0" containsNumber="1" containsInteger="1" minValue="0" maxValue="1912"/>
    </cacheField>
    <cacheField name="Unit_Price" numFmtId="164">
      <sharedItems containsSemiMixedTypes="0" containsString="0" containsNumber="1" containsInteger="1" minValue="0" maxValue="3400"/>
    </cacheField>
    <cacheField name="Profit" numFmtId="164">
      <sharedItems containsSemiMixedTypes="0" containsString="0" containsNumber="1" containsInteger="1" minValue="245" maxValue="5908"/>
    </cacheField>
    <cacheField name="Cost" numFmtId="0">
      <sharedItems containsSemiMixedTypes="0" containsString="0" containsNumber="1" containsInteger="1" minValue="0" maxValue="7592"/>
    </cacheField>
    <cacheField name="Revenue" numFmtId="164">
      <sharedItems containsSemiMixedTypes="0" containsString="0" containsNumber="1" containsInteger="1" minValue="0" maxValue="13500"/>
    </cacheField>
    <cacheField name="Months (Date_Combined)" numFmtId="0" databaseField="0">
      <fieldGroup base="1">
        <rangePr groupBy="months" startDate="1899-12-30T00:00:00" endDate="2021-12-27T00:00:00"/>
        <groupItems count="14">
          <s v="&lt;00-01-19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1"/>
        </groupItems>
      </fieldGroup>
    </cacheField>
    <cacheField name="Quarters (Date_Combined)" numFmtId="0" databaseField="0">
      <fieldGroup base="1">
        <rangePr groupBy="quarters" startDate="1899-12-30T00:00:00" endDate="2021-12-27T00:00:00"/>
        <groupItems count="6">
          <s v="&lt;00-01-1900"/>
          <s v="Qtr1"/>
          <s v="Qtr2"/>
          <s v="Qtr3"/>
          <s v="Qtr4"/>
          <s v="&gt;27-12-2021"/>
        </groupItems>
      </fieldGroup>
    </cacheField>
    <cacheField name="Years (Date_Combined)" numFmtId="0" databaseField="0">
      <fieldGroup base="1">
        <rangePr groupBy="years" startDate="1899-12-30T00:00:00" endDate="2021-12-27T00:00:00"/>
        <groupItems count="124">
          <s v="&lt;00-01-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27-12-2021"/>
        </groupItems>
      </fieldGroup>
    </cacheField>
  </cacheFields>
  <extLst>
    <ext xmlns:x14="http://schemas.microsoft.com/office/spreadsheetml/2009/9/main" uri="{725AE2AE-9491-48be-B2B4-4EB974FC3084}">
      <x14:pivotCacheDefinition pivotCacheId="7309491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61695"/>
    <x v="0"/>
    <n v="39"/>
    <x v="0"/>
    <x v="0"/>
    <x v="0"/>
    <x v="0"/>
    <x v="0"/>
    <s v="Mountain Bikes"/>
    <s v="Mountain-200 Black, 46"/>
    <n v="4"/>
    <n v="1252"/>
    <n v="2295"/>
    <n v="4172"/>
    <n v="5008"/>
    <n v="9180"/>
  </r>
  <r>
    <n v="261696"/>
    <x v="0"/>
    <n v="44"/>
    <x v="0"/>
    <x v="1"/>
    <x v="1"/>
    <x v="1"/>
    <x v="0"/>
    <s v="Mountain Bikes"/>
    <s v="Mountain-200 Silver, 42"/>
    <n v="1"/>
    <n v="1266"/>
    <n v="2320"/>
    <n v="1054"/>
    <n v="1266"/>
    <n v="2320"/>
  </r>
  <r>
    <n v="261697"/>
    <x v="1"/>
    <n v="37"/>
    <x v="0"/>
    <x v="1"/>
    <x v="0"/>
    <x v="0"/>
    <x v="0"/>
    <s v="Mountain Bikes"/>
    <s v="Mountain-400-W Silver, 46"/>
    <n v="2"/>
    <n v="420"/>
    <n v="769"/>
    <n v="698"/>
    <n v="840"/>
    <n v="1538"/>
  </r>
  <r>
    <n v="261698"/>
    <x v="2"/>
    <n v="31"/>
    <x v="1"/>
    <x v="0"/>
    <x v="2"/>
    <x v="2"/>
    <x v="0"/>
    <s v="Mountain Bikes"/>
    <s v="Mountain-400-W Silver, 42"/>
    <n v="1"/>
    <n v="420"/>
    <n v="769"/>
    <n v="349"/>
    <n v="420"/>
    <n v="769"/>
  </r>
  <r>
    <n v="261699"/>
    <x v="2"/>
    <n v="37"/>
    <x v="0"/>
    <x v="0"/>
    <x v="0"/>
    <x v="0"/>
    <x v="0"/>
    <s v="Mountain Bikes"/>
    <s v="Mountain-200 Black, 46"/>
    <n v="0"/>
    <n v="0"/>
    <n v="2295"/>
    <n v="2086"/>
    <n v="0"/>
    <n v="4590"/>
  </r>
  <r>
    <n v="261700"/>
    <x v="3"/>
    <n v="24"/>
    <x v="2"/>
    <x v="0"/>
    <x v="1"/>
    <x v="1"/>
    <x v="0"/>
    <s v="Mountain Bikes"/>
    <s v="Mountain-200 Black, 38"/>
    <n v="1"/>
    <n v="1252"/>
    <n v="2295"/>
    <n v="1043"/>
    <n v="1252"/>
    <n v="2295"/>
  </r>
  <r>
    <n v="261701"/>
    <x v="4"/>
    <n v="37"/>
    <x v="0"/>
    <x v="1"/>
    <x v="0"/>
    <x v="3"/>
    <x v="0"/>
    <s v="Mountain Bikes"/>
    <s v="Mountain-200 Black, 46"/>
    <n v="1"/>
    <n v="1252"/>
    <n v="2295"/>
    <n v="1043"/>
    <n v="1252"/>
    <n v="2295"/>
  </r>
  <r>
    <n v="261702"/>
    <x v="4"/>
    <n v="31"/>
    <x v="1"/>
    <x v="0"/>
    <x v="2"/>
    <x v="2"/>
    <x v="0"/>
    <s v="Mountain Bikes"/>
    <s v="Mountain-400-W Silver, 42"/>
    <n v="4"/>
    <n v="420"/>
    <n v="0"/>
    <n v="1396"/>
    <n v="1680"/>
    <n v="0"/>
  </r>
  <r>
    <n v="261703"/>
    <x v="4"/>
    <n v="39"/>
    <x v="0"/>
    <x v="0"/>
    <x v="0"/>
    <x v="0"/>
    <x v="0"/>
    <s v="Mountain Bikes"/>
    <s v="Mountain-200 Black, 46"/>
    <n v="4"/>
    <n v="1252"/>
    <n v="2295"/>
    <n v="4172"/>
    <n v="5008"/>
    <n v="9180"/>
  </r>
  <r>
    <n v="261704"/>
    <x v="5"/>
    <n v="42"/>
    <x v="0"/>
    <x v="1"/>
    <x v="3"/>
    <x v="4"/>
    <x v="0"/>
    <s v="Mountain Bikes"/>
    <s v="Mountain-200 Black, 38"/>
    <n v="4"/>
    <n v="1252"/>
    <n v="2295"/>
    <n v="4172"/>
    <n v="5008"/>
    <n v="9180"/>
  </r>
  <r>
    <n v="261705"/>
    <x v="5"/>
    <n v="35"/>
    <x v="0"/>
    <x v="0"/>
    <x v="2"/>
    <x v="5"/>
    <x v="0"/>
    <s v="Mountain Bikes"/>
    <s v="Mountain-200 Silver, 38"/>
    <n v="1"/>
    <n v="1266"/>
    <n v="2320"/>
    <n v="1054"/>
    <n v="1266"/>
    <n v="2320"/>
  </r>
  <r>
    <n v="261706"/>
    <x v="5"/>
    <n v="0"/>
    <x v="0"/>
    <x v="0"/>
    <x v="0"/>
    <x v="0"/>
    <x v="0"/>
    <s v="Mountain Bikes"/>
    <s v="Mountain-200 Black, 46"/>
    <n v="1"/>
    <n v="1252"/>
    <n v="2295"/>
    <n v="1043"/>
    <n v="1252"/>
    <n v="2295"/>
  </r>
  <r>
    <n v="261707"/>
    <x v="6"/>
    <n v="23"/>
    <x v="2"/>
    <x v="1"/>
    <x v="1"/>
    <x v="1"/>
    <x v="0"/>
    <s v="Mountain Bikes"/>
    <s v="Mountain-400-W Silver, 46"/>
    <n v="3"/>
    <n v="420"/>
    <n v="769"/>
    <n v="1047"/>
    <n v="1260"/>
    <n v="2307"/>
  </r>
  <r>
    <n v="261708"/>
    <x v="7"/>
    <n v="27"/>
    <x v="2"/>
    <x v="1"/>
    <x v="4"/>
    <x v="6"/>
    <x v="0"/>
    <s v="Mountain Bikes"/>
    <s v="Mountain-200 Black, 46"/>
    <n v="1"/>
    <n v="1252"/>
    <n v="2295"/>
    <n v="1043"/>
    <n v="1252"/>
    <n v="2295"/>
  </r>
  <r>
    <n v="261709"/>
    <x v="7"/>
    <n v="36"/>
    <x v="0"/>
    <x v="1"/>
    <x v="2"/>
    <x v="2"/>
    <x v="0"/>
    <s v="Mountain Bikes"/>
    <s v="Mountain-200 Black, 42"/>
    <n v="1"/>
    <n v="1252"/>
    <n v="2295"/>
    <n v="1043"/>
    <n v="1252"/>
    <n v="2295"/>
  </r>
  <r>
    <n v="261710"/>
    <x v="7"/>
    <n v="47"/>
    <x v="0"/>
    <x v="1"/>
    <x v="1"/>
    <x v="1"/>
    <x v="0"/>
    <s v="Mountain Bikes"/>
    <s v="Mountain-200 Silver, 38"/>
    <n v="1"/>
    <n v="1266"/>
    <n v="2320"/>
    <n v="1054"/>
    <n v="1266"/>
    <n v="2320"/>
  </r>
  <r>
    <n v="261711"/>
    <x v="8"/>
    <n v="30"/>
    <x v="3"/>
    <x v="1"/>
    <x v="0"/>
    <x v="0"/>
    <x v="0"/>
    <s v="Mountain Bikes"/>
    <s v="Mountain-400-W Silver, 38"/>
    <n v="4"/>
    <n v="420"/>
    <n v="769"/>
    <n v="1396"/>
    <n v="1680"/>
    <n v="3076"/>
  </r>
  <r>
    <n v="261712"/>
    <x v="8"/>
    <n v="38"/>
    <x v="0"/>
    <x v="1"/>
    <x v="0"/>
    <x v="0"/>
    <x v="0"/>
    <s v="Mountain Bikes"/>
    <s v="Mountain-200 Silver, 42"/>
    <n v="2"/>
    <n v="1266"/>
    <n v="2320"/>
    <n v="2108"/>
    <n v="2532"/>
    <n v="4640"/>
  </r>
  <r>
    <n v="261713"/>
    <x v="9"/>
    <n v="19"/>
    <x v="2"/>
    <x v="0"/>
    <x v="2"/>
    <x v="2"/>
    <x v="0"/>
    <s v="Mountain Bikes"/>
    <s v="Mountain-500 Silver, 42"/>
    <n v="4"/>
    <n v="308"/>
    <n v="565"/>
    <n v="1028"/>
    <n v="1232"/>
    <n v="2260"/>
  </r>
  <r>
    <n v="261714"/>
    <x v="9"/>
    <n v="30"/>
    <x v="1"/>
    <x v="0"/>
    <x v="4"/>
    <x v="6"/>
    <x v="0"/>
    <s v="Mountain Bikes"/>
    <s v="Mountain-200 Silver, 38"/>
    <n v="4"/>
    <n v="1266"/>
    <n v="2320"/>
    <n v="4216"/>
    <n v="5064"/>
    <n v="9280"/>
  </r>
  <r>
    <n v="261715"/>
    <x v="9"/>
    <n v="39"/>
    <x v="0"/>
    <x v="0"/>
    <x v="0"/>
    <x v="7"/>
    <x v="0"/>
    <s v="Mountain Bikes"/>
    <s v="Null"/>
    <n v="2"/>
    <n v="1252"/>
    <n v="2295"/>
    <n v="2086"/>
    <n v="2504"/>
    <n v="4590"/>
  </r>
  <r>
    <n v="261716"/>
    <x v="9"/>
    <n v="35"/>
    <x v="0"/>
    <x v="0"/>
    <x v="0"/>
    <x v="0"/>
    <x v="0"/>
    <s v="Mountain Bikes"/>
    <s v="Mountain-500 Black, 42"/>
    <n v="0"/>
    <n v="295"/>
    <n v="540"/>
    <n v="245"/>
    <n v="0"/>
    <n v="0"/>
  </r>
  <r>
    <n v="261717"/>
    <x v="9"/>
    <n v="33"/>
    <x v="0"/>
    <x v="0"/>
    <x v="2"/>
    <x v="8"/>
    <x v="0"/>
    <s v="Mountain Bikes"/>
    <s v="Mountain-100 Black, 38"/>
    <n v="2"/>
    <n v="1898"/>
    <n v="3375"/>
    <n v="2954"/>
    <n v="3796"/>
    <n v="6750"/>
  </r>
  <r>
    <n v="261718"/>
    <x v="10"/>
    <n v="41"/>
    <x v="1"/>
    <x v="0"/>
    <x v="3"/>
    <x v="9"/>
    <x v="0"/>
    <s v="Mountain Bikes"/>
    <s v="Mountain-200 Silver, 42"/>
    <n v="0"/>
    <n v="1266"/>
    <n v="2320"/>
    <n v="1054"/>
    <n v="1266"/>
    <n v="2320"/>
  </r>
  <r>
    <n v="261719"/>
    <x v="10"/>
    <n v="34"/>
    <x v="1"/>
    <x v="0"/>
    <x v="0"/>
    <x v="0"/>
    <x v="0"/>
    <s v="Mountain Bikes"/>
    <s v="Mountain-200 Black, 42"/>
    <n v="2"/>
    <n v="1252"/>
    <n v="2295"/>
    <n v="2086"/>
    <n v="2504"/>
    <n v="4590"/>
  </r>
  <r>
    <n v="261720"/>
    <x v="10"/>
    <n v="0"/>
    <x v="0"/>
    <x v="1"/>
    <x v="2"/>
    <x v="2"/>
    <x v="0"/>
    <s v="Mountain Bikes"/>
    <s v="Mountain-200 Black, 42"/>
    <n v="2"/>
    <n v="1252"/>
    <n v="2295"/>
    <n v="2086"/>
    <n v="2504"/>
    <n v="4590"/>
  </r>
  <r>
    <n v="261721"/>
    <x v="10"/>
    <n v="26"/>
    <x v="1"/>
    <x v="1"/>
    <x v="1"/>
    <x v="1"/>
    <x v="0"/>
    <s v="Mountain Bikes"/>
    <s v="Mountain-200 Black, 38"/>
    <n v="1"/>
    <n v="1252"/>
    <n v="2295"/>
    <n v="1043"/>
    <n v="1252"/>
    <n v="2295"/>
  </r>
  <r>
    <n v="261722"/>
    <x v="10"/>
    <n v="34"/>
    <x v="1"/>
    <x v="1"/>
    <x v="0"/>
    <x v="0"/>
    <x v="0"/>
    <s v="Mountain Bikes"/>
    <s v="Mountain-500 Black, 40"/>
    <n v="1"/>
    <n v="295"/>
    <n v="540"/>
    <n v="245"/>
    <n v="295"/>
    <n v="540"/>
  </r>
  <r>
    <n v="261723"/>
    <x v="11"/>
    <n v="34"/>
    <x v="1"/>
    <x v="0"/>
    <x v="0"/>
    <x v="3"/>
    <x v="0"/>
    <s v="Mountain Bikes"/>
    <s v="Mountain-100 Silver, 44"/>
    <n v="1"/>
    <n v="1912"/>
    <n v="3400"/>
    <n v="1488"/>
    <n v="1912"/>
    <n v="3400"/>
  </r>
  <r>
    <n v="261724"/>
    <x v="11"/>
    <n v="38"/>
    <x v="0"/>
    <x v="1"/>
    <x v="2"/>
    <x v="2"/>
    <x v="0"/>
    <s v="Mountain Bikes"/>
    <s v="Mountain-200 Black, 38"/>
    <n v="1"/>
    <n v="1252"/>
    <n v="2295"/>
    <n v="1043"/>
    <n v="1252"/>
    <n v="2295"/>
  </r>
  <r>
    <n v="261725"/>
    <x v="11"/>
    <n v="24"/>
    <x v="2"/>
    <x v="0"/>
    <x v="5"/>
    <x v="10"/>
    <x v="0"/>
    <s v="Mountain Bikes"/>
    <s v="Mountain-200 Black, 38"/>
    <n v="3"/>
    <n v="1252"/>
    <n v="2295"/>
    <n v="3129"/>
    <n v="3756"/>
    <n v="6885"/>
  </r>
  <r>
    <n v="261726"/>
    <x v="12"/>
    <n v="0"/>
    <x v="0"/>
    <x v="0"/>
    <x v="2"/>
    <x v="2"/>
    <x v="0"/>
    <s v="Mountain Bikes"/>
    <s v="Mountain-400-W Silver, 38"/>
    <n v="2"/>
    <n v="420"/>
    <n v="769"/>
    <n v="698"/>
    <n v="840"/>
    <n v="1538"/>
  </r>
  <r>
    <n v="261727"/>
    <x v="12"/>
    <n v="27"/>
    <x v="1"/>
    <x v="1"/>
    <x v="4"/>
    <x v="6"/>
    <x v="0"/>
    <s v="Mountain Bikes"/>
    <s v="Mountain-200 Black, 46"/>
    <n v="1"/>
    <n v="1252"/>
    <n v="2295"/>
    <n v="1043"/>
    <n v="1252"/>
    <n v="2295"/>
  </r>
  <r>
    <n v="261728"/>
    <x v="12"/>
    <n v="37"/>
    <x v="0"/>
    <x v="1"/>
    <x v="0"/>
    <x v="0"/>
    <x v="0"/>
    <s v="Mountain Bikes"/>
    <s v="Mountain-400-W Silver, 46"/>
    <n v="1"/>
    <n v="420"/>
    <n v="769"/>
    <n v="349"/>
    <n v="420"/>
    <n v="769"/>
  </r>
  <r>
    <n v="261729"/>
    <x v="13"/>
    <n v="38"/>
    <x v="0"/>
    <x v="0"/>
    <x v="0"/>
    <x v="0"/>
    <x v="0"/>
    <s v="Mountain Bikes"/>
    <s v="Mountain-200 Silver, 38"/>
    <n v="1"/>
    <n v="1266"/>
    <n v="2320"/>
    <n v="1054"/>
    <n v="1266"/>
    <n v="2320"/>
  </r>
  <r>
    <n v="261730"/>
    <x v="13"/>
    <n v="36"/>
    <x v="0"/>
    <x v="0"/>
    <x v="2"/>
    <x v="2"/>
    <x v="0"/>
    <s v="Mountain Bikes"/>
    <s v="Mountain-200 Silver, 42"/>
    <n v="4"/>
    <n v="1266"/>
    <n v="2320"/>
    <n v="4216"/>
    <n v="5064"/>
    <n v="9280"/>
  </r>
  <r>
    <n v="261731"/>
    <x v="13"/>
    <n v="37"/>
    <x v="0"/>
    <x v="1"/>
    <x v="0"/>
    <x v="0"/>
    <x v="0"/>
    <s v="Mountain Bikes"/>
    <s v="Mountain-400-W Silver, 46"/>
    <n v="4"/>
    <n v="420"/>
    <n v="769"/>
    <n v="1396"/>
    <n v="1680"/>
    <n v="3076"/>
  </r>
  <r>
    <n v="261732"/>
    <x v="14"/>
    <n v="0"/>
    <x v="3"/>
    <x v="1"/>
    <x v="2"/>
    <x v="2"/>
    <x v="0"/>
    <s v="Mountain Bikes"/>
    <s v="Mountain-200 Black, 38"/>
    <n v="2"/>
    <n v="1252"/>
    <n v="2295"/>
    <n v="2086"/>
    <n v="2504"/>
    <n v="4590"/>
  </r>
  <r>
    <n v="261733"/>
    <x v="15"/>
    <n v="35"/>
    <x v="0"/>
    <x v="0"/>
    <x v="2"/>
    <x v="8"/>
    <x v="0"/>
    <s v="Mountain Bikes"/>
    <s v="Mountain-200 Silver, 42"/>
    <n v="0"/>
    <n v="1266"/>
    <n v="2320"/>
    <n v="1054"/>
    <n v="1266"/>
    <n v="2320"/>
  </r>
  <r>
    <n v="261734"/>
    <x v="15"/>
    <n v="38"/>
    <x v="3"/>
    <x v="0"/>
    <x v="0"/>
    <x v="3"/>
    <x v="0"/>
    <s v="Mountain Bikes"/>
    <s v="Mountain-200 Silver, 42"/>
    <n v="1"/>
    <n v="1266"/>
    <n v="2320"/>
    <n v="1054"/>
    <n v="1266"/>
    <n v="2320"/>
  </r>
  <r>
    <n v="261735"/>
    <x v="16"/>
    <n v="32"/>
    <x v="1"/>
    <x v="0"/>
    <x v="2"/>
    <x v="5"/>
    <x v="0"/>
    <s v="Mountain Bikes"/>
    <s v="Mountain-200 Silver, 42"/>
    <n v="3"/>
    <n v="1266"/>
    <n v="2320"/>
    <n v="3162"/>
    <n v="3798"/>
    <n v="6960"/>
  </r>
  <r>
    <n v="261736"/>
    <x v="16"/>
    <n v="40"/>
    <x v="0"/>
    <x v="0"/>
    <x v="0"/>
    <x v="0"/>
    <x v="0"/>
    <s v="Mountain Bikes"/>
    <s v="Mountain-500 Silver, 40"/>
    <n v="1"/>
    <n v="308"/>
    <n v="565"/>
    <n v="257"/>
    <n v="308"/>
    <n v="565"/>
  </r>
  <r>
    <n v="261737"/>
    <x v="16"/>
    <n v="44"/>
    <x v="0"/>
    <x v="0"/>
    <x v="1"/>
    <x v="1"/>
    <x v="0"/>
    <s v="Mountain Bikes"/>
    <s v="Mountain-200 Black, 38"/>
    <n v="1"/>
    <n v="1252"/>
    <n v="2295"/>
    <n v="1043"/>
    <n v="1252"/>
    <n v="2295"/>
  </r>
  <r>
    <n v="261738"/>
    <x v="17"/>
    <n v="49"/>
    <x v="0"/>
    <x v="1"/>
    <x v="1"/>
    <x v="1"/>
    <x v="0"/>
    <s v="Mountain Bikes"/>
    <s v="Mountain-200 Black, 38"/>
    <n v="1"/>
    <n v="1252"/>
    <n v="2295"/>
    <n v="1043"/>
    <n v="1252"/>
    <n v="2295"/>
  </r>
  <r>
    <n v="261739"/>
    <x v="17"/>
    <n v="30"/>
    <x v="1"/>
    <x v="0"/>
    <x v="0"/>
    <x v="3"/>
    <x v="0"/>
    <s v="Mountain Bikes"/>
    <s v="Mountain-200 Silver, 38"/>
    <n v="2"/>
    <n v="1266"/>
    <n v="2320"/>
    <n v="2108"/>
    <n v="2532"/>
    <n v="4640"/>
  </r>
  <r>
    <n v="261740"/>
    <x v="17"/>
    <n v="32"/>
    <x v="1"/>
    <x v="1"/>
    <x v="0"/>
    <x v="0"/>
    <x v="0"/>
    <s v="Mountain Bikes"/>
    <s v="Mountain-200 Black, 46"/>
    <n v="1"/>
    <n v="1252"/>
    <n v="2295"/>
    <n v="1043"/>
    <n v="1252"/>
    <n v="2295"/>
  </r>
  <r>
    <n v="261741"/>
    <x v="17"/>
    <n v="32"/>
    <x v="1"/>
    <x v="0"/>
    <x v="2"/>
    <x v="8"/>
    <x v="0"/>
    <s v="Mountain Bikes"/>
    <s v="Mountain-400-W Silver, 46"/>
    <n v="1"/>
    <n v="420"/>
    <n v="769"/>
    <n v="349"/>
    <n v="420"/>
    <n v="769"/>
  </r>
  <r>
    <n v="261742"/>
    <x v="17"/>
    <n v="29"/>
    <x v="1"/>
    <x v="0"/>
    <x v="0"/>
    <x v="0"/>
    <x v="0"/>
    <s v="Mountain Bikes"/>
    <s v="Mountain-200 Silver, 42"/>
    <n v="1"/>
    <n v="1266"/>
    <n v="2320"/>
    <n v="1054"/>
    <n v="1266"/>
    <n v="2320"/>
  </r>
  <r>
    <n v="261743"/>
    <x v="18"/>
    <n v="33"/>
    <x v="3"/>
    <x v="0"/>
    <x v="2"/>
    <x v="2"/>
    <x v="0"/>
    <s v="Mountain Bikes"/>
    <s v="Mountain-200 Black, 38"/>
    <n v="2"/>
    <n v="1252"/>
    <n v="2295"/>
    <n v="2086"/>
    <n v="2504"/>
    <n v="4590"/>
  </r>
  <r>
    <n v="261744"/>
    <x v="18"/>
    <n v="38"/>
    <x v="0"/>
    <x v="1"/>
    <x v="2"/>
    <x v="2"/>
    <x v="0"/>
    <s v="Mountain Bikes"/>
    <s v="Mountain-200 Black, 38"/>
    <n v="2"/>
    <n v="1252"/>
    <n v="2295"/>
    <n v="2086"/>
    <n v="2504"/>
    <n v="4590"/>
  </r>
  <r>
    <n v="261745"/>
    <x v="18"/>
    <n v="27"/>
    <x v="1"/>
    <x v="0"/>
    <x v="5"/>
    <x v="11"/>
    <x v="0"/>
    <s v="Moutain Bikes"/>
    <s v="Mountain-200 Silver, 46"/>
    <n v="1"/>
    <n v="1266"/>
    <n v="2320"/>
    <n v="1054"/>
    <n v="1266"/>
    <n v="2320"/>
  </r>
  <r>
    <n v="261746"/>
    <x v="18"/>
    <n v="37"/>
    <x v="0"/>
    <x v="0"/>
    <x v="0"/>
    <x v="3"/>
    <x v="0"/>
    <s v="Mountain Bikes"/>
    <s v="Mountain-200 Silver, 38"/>
    <n v="2"/>
    <n v="1266"/>
    <n v="2320"/>
    <n v="2108"/>
    <n v="2532"/>
    <n v="4640"/>
  </r>
  <r>
    <n v="261747"/>
    <x v="18"/>
    <n v="31"/>
    <x v="1"/>
    <x v="1"/>
    <x v="2"/>
    <x v="2"/>
    <x v="0"/>
    <s v="Mountain Bikes"/>
    <s v="Mountain-400-W Silver, 42"/>
    <n v="1"/>
    <n v="420"/>
    <n v="769"/>
    <n v="349"/>
    <n v="420"/>
    <n v="769"/>
  </r>
  <r>
    <n v="261748"/>
    <x v="18"/>
    <n v="42"/>
    <x v="0"/>
    <x v="0"/>
    <x v="3"/>
    <x v="4"/>
    <x v="0"/>
    <s v="Mountain Bikes"/>
    <s v="Mountain-200 Silver, 46"/>
    <n v="1"/>
    <n v="1266"/>
    <n v="2320"/>
    <n v="1054"/>
    <n v="1266"/>
    <n v="2320"/>
  </r>
  <r>
    <n v="261749"/>
    <x v="18"/>
    <n v="35"/>
    <x v="0"/>
    <x v="0"/>
    <x v="2"/>
    <x v="2"/>
    <x v="0"/>
    <s v="Mountain Bikes"/>
    <s v="Mountain-500 Silver, 42"/>
    <n v="4"/>
    <n v="308"/>
    <n v="565"/>
    <n v="1028"/>
    <n v="1232"/>
    <n v="2260"/>
  </r>
  <r>
    <n v="261750"/>
    <x v="18"/>
    <n v="38"/>
    <x v="0"/>
    <x v="0"/>
    <x v="3"/>
    <x v="4"/>
    <x v="0"/>
    <s v="Mountain Bikes"/>
    <s v="Mountain-200 Silver, 46"/>
    <n v="4"/>
    <n v="1266"/>
    <n v="2320"/>
    <n v="4216"/>
    <n v="5064"/>
    <n v="9280"/>
  </r>
  <r>
    <n v="261751"/>
    <x v="18"/>
    <n v="24"/>
    <x v="2"/>
    <x v="0"/>
    <x v="5"/>
    <x v="12"/>
    <x v="0"/>
    <s v="Mountain Bikes"/>
    <s v="Mountain-200 Silver, 38"/>
    <n v="3"/>
    <n v="1266"/>
    <n v="2320"/>
    <n v="3162"/>
    <n v="3798"/>
    <n v="6960"/>
  </r>
  <r>
    <n v="261752"/>
    <x v="19"/>
    <n v="26"/>
    <x v="1"/>
    <x v="0"/>
    <x v="1"/>
    <x v="1"/>
    <x v="0"/>
    <s v="Mountain Bikes"/>
    <s v="Mountain-400-W Silver, 42"/>
    <n v="3"/>
    <n v="420"/>
    <n v="769"/>
    <n v="1047"/>
    <n v="1260"/>
    <n v="2307"/>
  </r>
  <r>
    <n v="261753"/>
    <x v="19"/>
    <n v="39"/>
    <x v="0"/>
    <x v="1"/>
    <x v="0"/>
    <x v="0"/>
    <x v="0"/>
    <s v="Mountain Bikes"/>
    <s v="Mountain-200 Black, 42"/>
    <n v="3"/>
    <n v="1252"/>
    <n v="2295"/>
    <n v="3129"/>
    <n v="3756"/>
    <n v="6885"/>
  </r>
  <r>
    <n v="261754"/>
    <x v="19"/>
    <n v="26"/>
    <x v="1"/>
    <x v="1"/>
    <x v="5"/>
    <x v="10"/>
    <x v="0"/>
    <s v="Mountain Bikes"/>
    <s v="Mountain-200 Black, 46"/>
    <n v="1"/>
    <n v="1252"/>
    <n v="2295"/>
    <n v="1043"/>
    <n v="1252"/>
    <n v="2295"/>
  </r>
  <r>
    <n v="261755"/>
    <x v="19"/>
    <n v="36"/>
    <x v="0"/>
    <x v="1"/>
    <x v="0"/>
    <x v="3"/>
    <x v="0"/>
    <s v="Mountain Bikes"/>
    <s v="Mountain-200 Silver, 38"/>
    <n v="1"/>
    <n v="1266"/>
    <n v="2320"/>
    <n v="1054"/>
    <n v="1266"/>
    <n v="2320"/>
  </r>
  <r>
    <n v="261756"/>
    <x v="19"/>
    <n v="17"/>
    <x v="2"/>
    <x v="1"/>
    <x v="5"/>
    <x v="13"/>
    <x v="0"/>
    <s v="Mountain Bikes"/>
    <s v="Mountain-200 Silver, 46"/>
    <n v="0"/>
    <n v="1266"/>
    <n v="2320"/>
    <n v="4216"/>
    <n v="5064"/>
    <n v="9280"/>
  </r>
  <r>
    <n v="261757"/>
    <x v="20"/>
    <n v="19"/>
    <x v="2"/>
    <x v="0"/>
    <x v="2"/>
    <x v="8"/>
    <x v="0"/>
    <s v="Mountain Bikes"/>
    <s v="Mountain-500 Black, 44"/>
    <n v="4"/>
    <n v="295"/>
    <n v="540"/>
    <n v="980"/>
    <n v="1180"/>
    <n v="2160"/>
  </r>
  <r>
    <n v="261758"/>
    <x v="20"/>
    <n v="25"/>
    <x v="1"/>
    <x v="1"/>
    <x v="5"/>
    <x v="10"/>
    <x v="0"/>
    <s v="Mountain Bikes"/>
    <s v="Mountain-200 Black, 38"/>
    <n v="4"/>
    <n v="1252"/>
    <n v="2295"/>
    <n v="4172"/>
    <n v="5008"/>
    <n v="9180"/>
  </r>
  <r>
    <n v="261759"/>
    <x v="21"/>
    <n v="35"/>
    <x v="0"/>
    <x v="0"/>
    <x v="0"/>
    <x v="7"/>
    <x v="0"/>
    <s v="Mountain Bikes"/>
    <s v="Mountain-100 Black, 48"/>
    <n v="4"/>
    <n v="1898"/>
    <n v="3375"/>
    <n v="5908"/>
    <n v="7592"/>
    <n v="13500"/>
  </r>
  <r>
    <n v="261760"/>
    <x v="21"/>
    <n v="37"/>
    <x v="0"/>
    <x v="1"/>
    <x v="0"/>
    <x v="7"/>
    <x v="0"/>
    <s v="Mountain Bikes"/>
    <s v="Mountain-200 Black, 38"/>
    <n v="4"/>
    <n v="1252"/>
    <n v="2295"/>
    <n v="4172"/>
    <n v="5008"/>
    <n v="9180"/>
  </r>
  <r>
    <n v="261761"/>
    <x v="21"/>
    <n v="39"/>
    <x v="0"/>
    <x v="0"/>
    <x v="0"/>
    <x v="0"/>
    <x v="0"/>
    <s v="Mountain Bikes"/>
    <s v="Mountain-200 Black, 46"/>
    <n v="4"/>
    <n v="1252"/>
    <n v="2295"/>
    <n v="4172"/>
    <n v="5008"/>
    <n v="9180"/>
  </r>
  <r>
    <n v="261762"/>
    <x v="21"/>
    <n v="63"/>
    <x v="1"/>
    <x v="0"/>
    <x v="2"/>
    <x v="5"/>
    <x v="0"/>
    <s v="Mountain Bikes"/>
    <s v="Mountain-200 Black, 46"/>
    <n v="4"/>
    <n v="1252"/>
    <n v="2295"/>
    <n v="4172"/>
    <n v="5008"/>
    <n v="9180"/>
  </r>
  <r>
    <n v="261763"/>
    <x v="22"/>
    <n v="18"/>
    <x v="2"/>
    <x v="1"/>
    <x v="2"/>
    <x v="14"/>
    <x v="0"/>
    <s v="Mountain Bikes"/>
    <s v="Mountain-500 Black, 40"/>
    <n v="2"/>
    <n v="295"/>
    <n v="540"/>
    <n v="490"/>
    <n v="590"/>
    <n v="1080"/>
  </r>
  <r>
    <n v="261764"/>
    <x v="22"/>
    <n v="56"/>
    <x v="0"/>
    <x v="0"/>
    <x v="3"/>
    <x v="15"/>
    <x v="0"/>
    <s v="Mountain Bikes"/>
    <s v="Mountain-200 Black, 46"/>
    <n v="2"/>
    <n v="1252"/>
    <n v="2295"/>
    <n v="2086"/>
    <n v="2504"/>
    <n v="4590"/>
  </r>
  <r>
    <n v="261765"/>
    <x v="22"/>
    <n v="39"/>
    <x v="0"/>
    <x v="0"/>
    <x v="0"/>
    <x v="3"/>
    <x v="0"/>
    <s v="Mountain Bikes"/>
    <s v="Mountain-200 Silver, 38"/>
    <n v="1"/>
    <n v="1266"/>
    <n v="2320"/>
    <n v="1054"/>
    <n v="1266"/>
    <n v="2320"/>
  </r>
  <r>
    <n v="261766"/>
    <x v="23"/>
    <n v="33"/>
    <x v="1"/>
    <x v="0"/>
    <x v="2"/>
    <x v="8"/>
    <x v="0"/>
    <s v="Mountain Bikes"/>
    <s v="Mountain-100 Black, 38"/>
    <n v="4"/>
    <n v="1898"/>
    <n v="3375"/>
    <n v="5908"/>
    <n v="7592"/>
    <n v="13500"/>
  </r>
  <r>
    <n v="261767"/>
    <x v="23"/>
    <n v="0"/>
    <x v="0"/>
    <x v="1"/>
    <x v="2"/>
    <x v="5"/>
    <x v="0"/>
    <s v="Mountain Bikes"/>
    <s v="Mountain-200 Black, 46"/>
    <n v="4"/>
    <n v="1252"/>
    <n v="2295"/>
    <n v="4172"/>
    <n v="5008"/>
    <n v="9180"/>
  </r>
  <r>
    <n v="261768"/>
    <x v="24"/>
    <n v="29"/>
    <x v="0"/>
    <x v="1"/>
    <x v="4"/>
    <x v="6"/>
    <x v="0"/>
    <s v="Mountain Bikes"/>
    <s v="Mountain-500 Black, 52"/>
    <n v="3"/>
    <n v="295"/>
    <n v="540"/>
    <n v="735"/>
    <n v="885"/>
    <n v="1620"/>
  </r>
  <r>
    <n v="261769"/>
    <x v="24"/>
    <n v="35"/>
    <x v="0"/>
    <x v="0"/>
    <x v="2"/>
    <x v="5"/>
    <x v="0"/>
    <s v="Mountain Bikes"/>
    <s v="Mountain-200 Silver, 38"/>
    <n v="1"/>
    <n v="1266"/>
    <n v="2320"/>
    <n v="1054"/>
    <n v="1266"/>
    <n v="2320"/>
  </r>
  <r>
    <n v="261770"/>
    <x v="25"/>
    <n v="35"/>
    <x v="0"/>
    <x v="1"/>
    <x v="2"/>
    <x v="8"/>
    <x v="0"/>
    <s v="Mountain Bikes"/>
    <s v="Mountain-200 Silver, 38"/>
    <n v="1"/>
    <n v="1266"/>
    <n v="2320"/>
    <n v="1054"/>
    <n v="1266"/>
    <n v="2320"/>
  </r>
  <r>
    <n v="261771"/>
    <x v="25"/>
    <n v="26"/>
    <x v="1"/>
    <x v="1"/>
    <x v="5"/>
    <x v="16"/>
    <x v="0"/>
    <s v="Mountain Bikes"/>
    <s v="Mountain-200 Silver, 38"/>
    <n v="3"/>
    <n v="1266"/>
    <n v="2320"/>
    <n v="3162"/>
    <n v="3798"/>
    <n v="6960"/>
  </r>
  <r>
    <n v="261782"/>
    <x v="26"/>
    <n v="38"/>
    <x v="0"/>
    <x v="1"/>
    <x v="2"/>
    <x v="5"/>
    <x v="0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057C0-7EC5-4351-B803-FB359B555A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3:F10" firstHeaderRow="0" firstDataRow="1" firstDataCol="1"/>
  <pivotFields count="19">
    <pivotField showAll="0"/>
    <pivotField showAll="0">
      <items count="28"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sd="0" x="2"/>
        <item sd="0" x="4"/>
        <item sd="0" x="5"/>
        <item sd="0" x="3"/>
        <item sd="0" x="1"/>
        <item sd="0" x="0"/>
        <item t="default"/>
      </items>
    </pivotField>
    <pivotField axis="axisRow" showAll="0">
      <items count="18">
        <item x="6"/>
        <item x="0"/>
        <item x="1"/>
        <item x="9"/>
        <item x="15"/>
        <item x="2"/>
        <item x="13"/>
        <item x="4"/>
        <item x="7"/>
        <item x="5"/>
        <item x="10"/>
        <item x="11"/>
        <item x="12"/>
        <item x="16"/>
        <item x="14"/>
        <item x="8"/>
        <item x="3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dataField="1"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12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t="default"/>
      </items>
    </pivotField>
  </pivotFields>
  <rowFields count="2">
    <field x="5"/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15" baseField="0" baseItem="0" numFmtId="164"/>
    <dataField name="Sum of Cost" fld="14" baseField="0" baseItem="0"/>
    <dataField name="Sum of Profit" fld="13" baseField="0" baseItem="0" numFmtId="164"/>
    <dataField name="Sum of Unit_Price" fld="12" baseField="0" baseItem="0" numFmtId="164"/>
    <dataField name="Sum of Unit_Cost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20E0-7D40-4651-8017-59C1CCD994AF}">
  <dimension ref="A1:P96"/>
  <sheetViews>
    <sheetView topLeftCell="A7" zoomScale="64" workbookViewId="0">
      <selection activeCell="H69" sqref="H69"/>
    </sheetView>
  </sheetViews>
  <sheetFormatPr defaultRowHeight="14.4" x14ac:dyDescent="0.3"/>
  <cols>
    <col min="1" max="1" width="9" bestFit="1" customWidth="1"/>
    <col min="2" max="2" width="9.88671875" bestFit="1" customWidth="1"/>
    <col min="3" max="3" width="9" bestFit="1" customWidth="1"/>
    <col min="4" max="4" width="7.6640625" customWidth="1"/>
    <col min="10" max="10" width="13.6640625" customWidth="1"/>
    <col min="11" max="11" width="9" style="4" bestFit="1" customWidth="1"/>
    <col min="12" max="12" width="6.88671875" customWidth="1"/>
    <col min="13" max="14" width="9" bestFit="1" customWidth="1"/>
    <col min="15" max="15" width="3.44140625" customWidth="1"/>
    <col min="16" max="16" width="9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261762</v>
      </c>
      <c r="B2" s="1">
        <v>44549</v>
      </c>
      <c r="C2">
        <v>63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2">
        <v>4</v>
      </c>
      <c r="L2">
        <v>1252</v>
      </c>
      <c r="M2">
        <v>2295</v>
      </c>
      <c r="N2">
        <v>4172</v>
      </c>
      <c r="O2">
        <v>5008</v>
      </c>
      <c r="P2">
        <v>9180</v>
      </c>
    </row>
    <row r="3" spans="1:16" x14ac:dyDescent="0.3">
      <c r="A3">
        <v>261716</v>
      </c>
      <c r="B3" s="1">
        <v>44538</v>
      </c>
      <c r="C3">
        <v>35</v>
      </c>
      <c r="D3" t="s">
        <v>22</v>
      </c>
      <c r="E3" t="s">
        <v>16</v>
      </c>
      <c r="F3" t="s">
        <v>23</v>
      </c>
      <c r="G3" t="s">
        <v>24</v>
      </c>
      <c r="H3" t="s">
        <v>19</v>
      </c>
      <c r="I3" t="s">
        <v>25</v>
      </c>
      <c r="J3" t="s">
        <v>26</v>
      </c>
      <c r="K3" s="2"/>
      <c r="L3">
        <v>295</v>
      </c>
      <c r="M3">
        <v>540</v>
      </c>
      <c r="N3">
        <v>245</v>
      </c>
      <c r="O3">
        <v>0</v>
      </c>
      <c r="P3">
        <v>0</v>
      </c>
    </row>
    <row r="4" spans="1:16" ht="37.799999999999997" customHeight="1" x14ac:dyDescent="0.3">
      <c r="A4">
        <v>261766</v>
      </c>
      <c r="B4" s="1">
        <v>44550</v>
      </c>
      <c r="C4">
        <v>33</v>
      </c>
      <c r="D4" t="s">
        <v>27</v>
      </c>
      <c r="E4" t="s">
        <v>16</v>
      </c>
      <c r="F4" t="s">
        <v>28</v>
      </c>
      <c r="G4" t="s">
        <v>29</v>
      </c>
      <c r="H4" t="s">
        <v>19</v>
      </c>
      <c r="I4" t="s">
        <v>20</v>
      </c>
      <c r="J4" s="2" t="s">
        <v>30</v>
      </c>
      <c r="K4" s="2">
        <v>4</v>
      </c>
      <c r="L4">
        <v>1898</v>
      </c>
      <c r="M4">
        <v>3375</v>
      </c>
      <c r="N4">
        <v>5908</v>
      </c>
      <c r="O4">
        <v>7592</v>
      </c>
      <c r="P4">
        <v>13500</v>
      </c>
    </row>
    <row r="5" spans="1:16" ht="22.2" customHeight="1" x14ac:dyDescent="0.3">
      <c r="A5">
        <v>261767</v>
      </c>
      <c r="B5" s="1">
        <v>44550</v>
      </c>
      <c r="D5" t="s">
        <v>22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s="2">
        <v>4</v>
      </c>
      <c r="L5">
        <v>1252</v>
      </c>
      <c r="M5" s="2">
        <v>2295</v>
      </c>
      <c r="N5">
        <v>4172</v>
      </c>
      <c r="O5">
        <v>5008</v>
      </c>
      <c r="P5">
        <v>9180</v>
      </c>
    </row>
    <row r="6" spans="1:16" x14ac:dyDescent="0.3">
      <c r="A6">
        <v>261695</v>
      </c>
      <c r="B6" s="1">
        <v>44531</v>
      </c>
      <c r="C6">
        <v>39</v>
      </c>
      <c r="D6" t="s">
        <v>37</v>
      </c>
      <c r="E6" t="s">
        <v>16</v>
      </c>
      <c r="F6" t="s">
        <v>38</v>
      </c>
      <c r="G6" t="s">
        <v>39</v>
      </c>
      <c r="H6" t="s">
        <v>40</v>
      </c>
      <c r="I6" t="s">
        <v>41</v>
      </c>
      <c r="J6" t="s">
        <v>36</v>
      </c>
      <c r="K6" s="2">
        <v>4</v>
      </c>
      <c r="L6" s="2">
        <v>1252</v>
      </c>
      <c r="M6">
        <v>2295</v>
      </c>
      <c r="N6">
        <v>4172</v>
      </c>
      <c r="O6">
        <v>5008</v>
      </c>
      <c r="P6">
        <v>9180</v>
      </c>
    </row>
    <row r="7" spans="1:16" ht="49.8" customHeight="1" x14ac:dyDescent="0.3">
      <c r="A7">
        <v>261720</v>
      </c>
      <c r="B7" s="1">
        <v>44540</v>
      </c>
      <c r="C7" s="2"/>
      <c r="E7" t="s">
        <v>31</v>
      </c>
      <c r="F7" t="s">
        <v>32</v>
      </c>
      <c r="G7" t="s">
        <v>42</v>
      </c>
      <c r="H7" t="s">
        <v>40</v>
      </c>
      <c r="I7" t="s">
        <v>43</v>
      </c>
      <c r="J7" t="s">
        <v>44</v>
      </c>
      <c r="K7" s="2">
        <v>2</v>
      </c>
      <c r="L7">
        <v>1252</v>
      </c>
      <c r="M7">
        <v>2295</v>
      </c>
      <c r="N7">
        <v>2086</v>
      </c>
      <c r="O7">
        <v>2504</v>
      </c>
      <c r="P7">
        <v>4590</v>
      </c>
    </row>
    <row r="8" spans="1:16" x14ac:dyDescent="0.3">
      <c r="A8">
        <v>261734</v>
      </c>
      <c r="B8" t="e">
        <v>#NAME?</v>
      </c>
      <c r="C8">
        <v>38</v>
      </c>
      <c r="E8" t="s">
        <v>16</v>
      </c>
      <c r="F8" t="s">
        <v>23</v>
      </c>
      <c r="G8" t="s">
        <v>45</v>
      </c>
      <c r="H8" t="s">
        <v>19</v>
      </c>
      <c r="I8" t="s">
        <v>35</v>
      </c>
      <c r="J8" t="s">
        <v>46</v>
      </c>
      <c r="K8" s="2">
        <v>1</v>
      </c>
      <c r="L8">
        <v>1266</v>
      </c>
      <c r="M8">
        <v>2320</v>
      </c>
      <c r="N8">
        <v>1054</v>
      </c>
      <c r="O8">
        <v>1266</v>
      </c>
      <c r="P8">
        <v>2320</v>
      </c>
    </row>
    <row r="9" spans="1:16" ht="39.6" customHeight="1" x14ac:dyDescent="0.3">
      <c r="A9">
        <v>261736</v>
      </c>
      <c r="B9" s="1">
        <v>44543</v>
      </c>
      <c r="C9">
        <v>40</v>
      </c>
      <c r="D9" t="s">
        <v>22</v>
      </c>
      <c r="E9" t="s">
        <v>16</v>
      </c>
      <c r="F9" t="s">
        <v>47</v>
      </c>
      <c r="G9" t="s">
        <v>39</v>
      </c>
      <c r="H9" t="s">
        <v>19</v>
      </c>
      <c r="I9" t="s">
        <v>25</v>
      </c>
      <c r="J9" t="s">
        <v>48</v>
      </c>
      <c r="K9" s="2">
        <v>1</v>
      </c>
      <c r="L9">
        <v>308</v>
      </c>
      <c r="M9">
        <v>565</v>
      </c>
      <c r="N9">
        <v>257</v>
      </c>
      <c r="O9">
        <v>308</v>
      </c>
      <c r="P9">
        <v>565</v>
      </c>
    </row>
    <row r="10" spans="1:16" x14ac:dyDescent="0.3">
      <c r="A10">
        <v>261704</v>
      </c>
      <c r="B10" t="e">
        <v>#NAME?</v>
      </c>
      <c r="C10">
        <v>42</v>
      </c>
      <c r="D10" t="s">
        <v>49</v>
      </c>
      <c r="E10" t="s">
        <v>31</v>
      </c>
      <c r="F10" t="s">
        <v>50</v>
      </c>
      <c r="G10" t="s">
        <v>51</v>
      </c>
      <c r="H10" t="s">
        <v>40</v>
      </c>
      <c r="I10" t="s">
        <v>52</v>
      </c>
      <c r="J10" t="s">
        <v>53</v>
      </c>
      <c r="K10" s="2">
        <v>4</v>
      </c>
      <c r="L10">
        <v>1252</v>
      </c>
      <c r="M10">
        <v>2295</v>
      </c>
      <c r="N10">
        <v>4172</v>
      </c>
      <c r="O10">
        <v>5008</v>
      </c>
      <c r="P10">
        <v>9180</v>
      </c>
    </row>
    <row r="11" spans="1:16" x14ac:dyDescent="0.3">
      <c r="A11">
        <v>261739</v>
      </c>
      <c r="B11" s="1">
        <v>44544</v>
      </c>
      <c r="C11">
        <v>30</v>
      </c>
      <c r="D11" t="s">
        <v>54</v>
      </c>
      <c r="E11" t="s">
        <v>16</v>
      </c>
      <c r="F11" t="s">
        <v>55</v>
      </c>
      <c r="G11" t="s">
        <v>56</v>
      </c>
      <c r="H11" t="s">
        <v>40</v>
      </c>
      <c r="I11" t="s">
        <v>57</v>
      </c>
      <c r="J11" t="s">
        <v>58</v>
      </c>
      <c r="K11" s="2">
        <v>2</v>
      </c>
      <c r="L11">
        <v>1266</v>
      </c>
      <c r="M11">
        <v>2320</v>
      </c>
      <c r="N11">
        <v>2108</v>
      </c>
      <c r="O11">
        <v>2532</v>
      </c>
      <c r="P11">
        <v>4640</v>
      </c>
    </row>
    <row r="12" spans="1:16" ht="58.2" customHeight="1" x14ac:dyDescent="0.3">
      <c r="A12">
        <v>261778</v>
      </c>
      <c r="B12" t="e">
        <v>#NAME?</v>
      </c>
      <c r="C12" s="2">
        <v>41</v>
      </c>
      <c r="D12" t="s">
        <v>37</v>
      </c>
      <c r="E12" t="s">
        <v>31</v>
      </c>
      <c r="F12" t="s">
        <v>59</v>
      </c>
      <c r="G12" t="s">
        <v>60</v>
      </c>
      <c r="H12" t="s">
        <v>19</v>
      </c>
      <c r="I12" s="2" t="s">
        <v>61</v>
      </c>
      <c r="J12" t="s">
        <v>58</v>
      </c>
      <c r="K12" s="2">
        <v>1</v>
      </c>
      <c r="L12">
        <v>1266</v>
      </c>
      <c r="M12" s="2">
        <v>2320</v>
      </c>
      <c r="N12">
        <v>1054</v>
      </c>
      <c r="O12">
        <v>1266</v>
      </c>
      <c r="P12">
        <v>2320</v>
      </c>
    </row>
    <row r="13" spans="1:16" ht="47.4" customHeight="1" x14ac:dyDescent="0.3">
      <c r="A13">
        <v>261749</v>
      </c>
      <c r="B13" s="1">
        <v>44548</v>
      </c>
      <c r="C13">
        <v>35</v>
      </c>
      <c r="D13" t="s">
        <v>49</v>
      </c>
      <c r="E13" t="s">
        <v>16</v>
      </c>
      <c r="F13" t="s">
        <v>28</v>
      </c>
      <c r="G13" t="s">
        <v>62</v>
      </c>
      <c r="H13" t="s">
        <v>40</v>
      </c>
      <c r="I13" t="s">
        <v>43</v>
      </c>
      <c r="J13" t="s">
        <v>63</v>
      </c>
      <c r="K13" s="2">
        <v>4</v>
      </c>
      <c r="L13">
        <v>308</v>
      </c>
      <c r="M13">
        <v>565</v>
      </c>
      <c r="N13">
        <v>1028</v>
      </c>
      <c r="O13">
        <v>1232</v>
      </c>
      <c r="P13">
        <v>2260</v>
      </c>
    </row>
    <row r="14" spans="1:16" x14ac:dyDescent="0.3">
      <c r="A14">
        <v>261775</v>
      </c>
      <c r="B14" s="1">
        <v>44552</v>
      </c>
      <c r="C14">
        <v>19</v>
      </c>
      <c r="D14" t="s">
        <v>64</v>
      </c>
      <c r="E14" t="s">
        <v>16</v>
      </c>
      <c r="F14" t="s">
        <v>65</v>
      </c>
      <c r="G14" t="s">
        <v>42</v>
      </c>
      <c r="H14" t="s">
        <v>19</v>
      </c>
      <c r="I14" t="s">
        <v>66</v>
      </c>
      <c r="J14" t="s">
        <v>67</v>
      </c>
      <c r="K14" s="2">
        <v>1</v>
      </c>
      <c r="L14">
        <v>308</v>
      </c>
      <c r="M14">
        <v>565</v>
      </c>
      <c r="N14">
        <v>257</v>
      </c>
      <c r="O14">
        <v>308</v>
      </c>
      <c r="P14">
        <v>565</v>
      </c>
    </row>
    <row r="15" spans="1:16" x14ac:dyDescent="0.3">
      <c r="A15">
        <v>261741</v>
      </c>
      <c r="B15" s="1">
        <v>44544</v>
      </c>
      <c r="C15">
        <v>32</v>
      </c>
      <c r="D15" t="s">
        <v>68</v>
      </c>
      <c r="E15" t="s">
        <v>16</v>
      </c>
      <c r="F15" t="s">
        <v>69</v>
      </c>
      <c r="G15" t="s">
        <v>70</v>
      </c>
      <c r="H15" t="s">
        <v>19</v>
      </c>
      <c r="I15" t="s">
        <v>71</v>
      </c>
      <c r="J15" t="s">
        <v>72</v>
      </c>
      <c r="K15" s="2">
        <v>1</v>
      </c>
      <c r="L15">
        <v>420</v>
      </c>
      <c r="M15">
        <v>769</v>
      </c>
      <c r="N15">
        <v>349</v>
      </c>
      <c r="O15">
        <v>420</v>
      </c>
      <c r="P15">
        <v>769</v>
      </c>
    </row>
    <row r="16" spans="1:16" x14ac:dyDescent="0.3">
      <c r="A16">
        <v>261706</v>
      </c>
      <c r="B16" s="1">
        <v>44535</v>
      </c>
      <c r="D16" t="s">
        <v>22</v>
      </c>
      <c r="E16" t="s">
        <v>16</v>
      </c>
      <c r="F16" t="s">
        <v>73</v>
      </c>
      <c r="G16" t="s">
        <v>74</v>
      </c>
      <c r="H16" t="s">
        <v>19</v>
      </c>
      <c r="I16" t="s">
        <v>43</v>
      </c>
      <c r="J16" t="s">
        <v>75</v>
      </c>
      <c r="K16" s="2">
        <v>1</v>
      </c>
      <c r="L16">
        <v>1252</v>
      </c>
      <c r="M16">
        <v>2295</v>
      </c>
      <c r="N16">
        <v>1043</v>
      </c>
      <c r="O16">
        <v>1252</v>
      </c>
      <c r="P16">
        <v>2295</v>
      </c>
    </row>
    <row r="17" spans="1:16" ht="43.8" customHeight="1" x14ac:dyDescent="0.3">
      <c r="A17">
        <v>261699</v>
      </c>
      <c r="B17" s="1">
        <v>44533</v>
      </c>
      <c r="C17">
        <v>37</v>
      </c>
      <c r="E17" t="s">
        <v>16</v>
      </c>
      <c r="F17" t="s">
        <v>76</v>
      </c>
      <c r="G17" t="s">
        <v>77</v>
      </c>
      <c r="H17" t="s">
        <v>19</v>
      </c>
      <c r="I17" t="s">
        <v>61</v>
      </c>
      <c r="J17" t="s">
        <v>21</v>
      </c>
      <c r="K17" s="2"/>
      <c r="L17">
        <v>0</v>
      </c>
      <c r="M17">
        <v>2295</v>
      </c>
      <c r="N17">
        <v>2086</v>
      </c>
      <c r="O17">
        <v>0</v>
      </c>
      <c r="P17">
        <v>4590</v>
      </c>
    </row>
    <row r="18" spans="1:16" ht="53.4" customHeight="1" x14ac:dyDescent="0.3">
      <c r="A18">
        <v>261712</v>
      </c>
      <c r="B18" s="1">
        <v>44537</v>
      </c>
      <c r="C18" s="2">
        <v>38</v>
      </c>
      <c r="D18" t="s">
        <v>22</v>
      </c>
      <c r="E18" t="s">
        <v>31</v>
      </c>
      <c r="F18" t="s">
        <v>23</v>
      </c>
      <c r="G18" t="s">
        <v>24</v>
      </c>
      <c r="H18" t="s">
        <v>40</v>
      </c>
      <c r="I18" t="s">
        <v>20</v>
      </c>
      <c r="J18" t="s">
        <v>46</v>
      </c>
      <c r="K18" s="2">
        <v>2</v>
      </c>
      <c r="L18">
        <v>1266</v>
      </c>
      <c r="M18">
        <v>2320</v>
      </c>
      <c r="N18">
        <v>2108</v>
      </c>
      <c r="O18">
        <v>2532</v>
      </c>
      <c r="P18">
        <v>4640</v>
      </c>
    </row>
    <row r="19" spans="1:16" ht="9.6" customHeight="1" x14ac:dyDescent="0.3">
      <c r="A19">
        <v>261722</v>
      </c>
      <c r="B19" s="1">
        <v>44540</v>
      </c>
      <c r="C19">
        <v>34</v>
      </c>
      <c r="D19" t="s">
        <v>54</v>
      </c>
      <c r="E19" t="s">
        <v>31</v>
      </c>
      <c r="F19" t="s">
        <v>38</v>
      </c>
      <c r="G19" t="s">
        <v>78</v>
      </c>
      <c r="H19" t="s">
        <v>40</v>
      </c>
      <c r="I19" t="s">
        <v>71</v>
      </c>
      <c r="J19" t="s">
        <v>79</v>
      </c>
      <c r="K19" s="2">
        <v>1</v>
      </c>
      <c r="L19">
        <v>295</v>
      </c>
      <c r="M19">
        <v>540</v>
      </c>
      <c r="N19">
        <v>245</v>
      </c>
      <c r="O19">
        <v>295</v>
      </c>
      <c r="P19">
        <v>540</v>
      </c>
    </row>
    <row r="20" spans="1:16" x14ac:dyDescent="0.3">
      <c r="A20">
        <v>261733</v>
      </c>
      <c r="B20" s="1">
        <v>44542</v>
      </c>
      <c r="C20">
        <v>35</v>
      </c>
      <c r="D20" t="s">
        <v>49</v>
      </c>
      <c r="E20" t="s">
        <v>16</v>
      </c>
      <c r="F20" t="s">
        <v>80</v>
      </c>
      <c r="G20" t="s">
        <v>81</v>
      </c>
      <c r="H20" t="s">
        <v>34</v>
      </c>
      <c r="I20" t="s">
        <v>52</v>
      </c>
      <c r="J20" t="s">
        <v>82</v>
      </c>
      <c r="K20" s="2"/>
      <c r="L20">
        <v>1266</v>
      </c>
      <c r="M20">
        <v>2320</v>
      </c>
      <c r="N20">
        <v>1054</v>
      </c>
      <c r="O20">
        <v>1266</v>
      </c>
      <c r="P20">
        <v>2320</v>
      </c>
    </row>
    <row r="21" spans="1:16" ht="43.2" customHeight="1" x14ac:dyDescent="0.3">
      <c r="A21">
        <v>261760</v>
      </c>
      <c r="B21" s="1">
        <v>44549</v>
      </c>
      <c r="C21">
        <v>37</v>
      </c>
      <c r="D21" s="2" t="s">
        <v>22</v>
      </c>
      <c r="E21" t="s">
        <v>31</v>
      </c>
      <c r="F21" t="s">
        <v>47</v>
      </c>
      <c r="G21" t="s">
        <v>83</v>
      </c>
      <c r="H21" t="s">
        <v>40</v>
      </c>
      <c r="I21" t="s">
        <v>84</v>
      </c>
      <c r="J21" t="s">
        <v>85</v>
      </c>
      <c r="K21" s="2">
        <v>4</v>
      </c>
      <c r="L21">
        <v>1252</v>
      </c>
      <c r="M21">
        <v>2295</v>
      </c>
      <c r="N21">
        <v>4172</v>
      </c>
      <c r="O21">
        <v>5008</v>
      </c>
      <c r="P21">
        <v>9180</v>
      </c>
    </row>
    <row r="22" spans="1:16" x14ac:dyDescent="0.3">
      <c r="A22">
        <v>261709</v>
      </c>
      <c r="B22" s="1">
        <v>44536</v>
      </c>
      <c r="C22">
        <v>36</v>
      </c>
      <c r="E22" t="s">
        <v>31</v>
      </c>
      <c r="F22" t="s">
        <v>17</v>
      </c>
      <c r="G22" t="s">
        <v>86</v>
      </c>
      <c r="H22" t="s">
        <v>34</v>
      </c>
      <c r="I22" t="s">
        <v>61</v>
      </c>
      <c r="J22" t="s">
        <v>87</v>
      </c>
      <c r="K22" s="2">
        <v>1</v>
      </c>
      <c r="L22">
        <v>1252</v>
      </c>
      <c r="M22">
        <v>2295</v>
      </c>
      <c r="N22">
        <v>1043</v>
      </c>
      <c r="O22">
        <v>1252</v>
      </c>
      <c r="P22">
        <v>2295</v>
      </c>
    </row>
    <row r="23" spans="1:16" x14ac:dyDescent="0.3">
      <c r="A23">
        <v>261772</v>
      </c>
      <c r="B23" s="1">
        <v>44551</v>
      </c>
      <c r="C23">
        <v>23</v>
      </c>
      <c r="D23" t="s">
        <v>64</v>
      </c>
      <c r="E23" t="s">
        <v>31</v>
      </c>
      <c r="F23" t="s">
        <v>88</v>
      </c>
      <c r="G23" t="s">
        <v>89</v>
      </c>
      <c r="H23" t="s">
        <v>40</v>
      </c>
      <c r="I23" t="s">
        <v>71</v>
      </c>
      <c r="J23" t="s">
        <v>90</v>
      </c>
      <c r="K23" s="2">
        <v>2</v>
      </c>
      <c r="L23">
        <v>420</v>
      </c>
      <c r="M23">
        <v>769</v>
      </c>
      <c r="N23">
        <v>698</v>
      </c>
      <c r="O23">
        <v>840</v>
      </c>
      <c r="P23">
        <v>1538</v>
      </c>
    </row>
    <row r="24" spans="1:16" ht="29.4" customHeight="1" x14ac:dyDescent="0.3">
      <c r="A24">
        <v>261773</v>
      </c>
      <c r="B24" s="1">
        <v>44552</v>
      </c>
      <c r="C24">
        <v>30</v>
      </c>
      <c r="D24" t="s">
        <v>68</v>
      </c>
      <c r="E24" t="s">
        <v>16</v>
      </c>
      <c r="F24" t="s">
        <v>55</v>
      </c>
      <c r="G24" t="s">
        <v>91</v>
      </c>
      <c r="H24" t="s">
        <v>34</v>
      </c>
      <c r="I24" s="2" t="s">
        <v>43</v>
      </c>
      <c r="J24" t="s">
        <v>92</v>
      </c>
      <c r="K24" s="2">
        <v>3</v>
      </c>
      <c r="L24">
        <v>1266</v>
      </c>
      <c r="M24">
        <v>2320</v>
      </c>
      <c r="N24">
        <v>3162</v>
      </c>
      <c r="O24">
        <v>3798</v>
      </c>
      <c r="P24">
        <v>6960</v>
      </c>
    </row>
    <row r="25" spans="1:16" x14ac:dyDescent="0.3">
      <c r="A25">
        <v>261724</v>
      </c>
      <c r="B25" s="1">
        <v>44540</v>
      </c>
      <c r="C25">
        <v>38</v>
      </c>
      <c r="D25" t="s">
        <v>22</v>
      </c>
      <c r="E25" t="s">
        <v>31</v>
      </c>
      <c r="F25" t="s">
        <v>93</v>
      </c>
      <c r="G25" t="s">
        <v>94</v>
      </c>
      <c r="H25" t="s">
        <v>40</v>
      </c>
      <c r="I25" t="s">
        <v>71</v>
      </c>
      <c r="J25" t="s">
        <v>53</v>
      </c>
      <c r="K25" s="2">
        <v>1</v>
      </c>
      <c r="L25">
        <v>1252</v>
      </c>
      <c r="M25">
        <v>2295</v>
      </c>
      <c r="N25">
        <v>1043</v>
      </c>
      <c r="O25">
        <v>1252</v>
      </c>
      <c r="P25">
        <v>2295</v>
      </c>
    </row>
    <row r="26" spans="1:16" x14ac:dyDescent="0.3">
      <c r="A26">
        <v>261727</v>
      </c>
      <c r="B26" s="3">
        <v>44541</v>
      </c>
      <c r="C26">
        <v>27</v>
      </c>
      <c r="D26" t="s">
        <v>68</v>
      </c>
      <c r="E26" t="s">
        <v>31</v>
      </c>
      <c r="F26" t="s">
        <v>95</v>
      </c>
      <c r="G26" t="s">
        <v>96</v>
      </c>
      <c r="H26" t="s">
        <v>19</v>
      </c>
      <c r="I26" t="s">
        <v>97</v>
      </c>
      <c r="J26" t="s">
        <v>98</v>
      </c>
      <c r="K26" s="2">
        <v>1</v>
      </c>
      <c r="L26">
        <v>1252</v>
      </c>
      <c r="M26">
        <v>2295</v>
      </c>
      <c r="N26">
        <v>1043</v>
      </c>
      <c r="O26">
        <v>1252</v>
      </c>
      <c r="P26">
        <v>2295</v>
      </c>
    </row>
    <row r="27" spans="1:16" ht="43.8" customHeight="1" x14ac:dyDescent="0.3">
      <c r="A27">
        <v>261705</v>
      </c>
      <c r="B27" s="1">
        <v>44535</v>
      </c>
      <c r="C27">
        <v>35</v>
      </c>
      <c r="D27" t="s">
        <v>22</v>
      </c>
      <c r="E27" t="s">
        <v>16</v>
      </c>
      <c r="F27" t="s">
        <v>99</v>
      </c>
      <c r="G27" t="s">
        <v>100</v>
      </c>
      <c r="H27" t="s">
        <v>34</v>
      </c>
      <c r="I27" t="s">
        <v>101</v>
      </c>
      <c r="J27" t="s">
        <v>58</v>
      </c>
      <c r="K27" s="2">
        <v>1</v>
      </c>
      <c r="L27">
        <v>1266</v>
      </c>
      <c r="M27">
        <v>2320</v>
      </c>
      <c r="N27">
        <v>1054</v>
      </c>
      <c r="O27">
        <v>1266</v>
      </c>
      <c r="P27">
        <v>2320</v>
      </c>
    </row>
    <row r="28" spans="1:16" x14ac:dyDescent="0.3">
      <c r="A28">
        <v>261738</v>
      </c>
      <c r="B28" s="1">
        <v>44543</v>
      </c>
      <c r="C28">
        <v>49</v>
      </c>
      <c r="D28" t="s">
        <v>37</v>
      </c>
      <c r="E28" t="s">
        <v>31</v>
      </c>
      <c r="F28" t="s">
        <v>102</v>
      </c>
      <c r="G28" t="s">
        <v>103</v>
      </c>
      <c r="H28" t="s">
        <v>40</v>
      </c>
      <c r="I28" t="s">
        <v>104</v>
      </c>
      <c r="J28" t="s">
        <v>85</v>
      </c>
      <c r="K28" s="2">
        <v>1</v>
      </c>
      <c r="L28">
        <v>1252</v>
      </c>
      <c r="M28">
        <v>2295</v>
      </c>
      <c r="N28">
        <v>1043</v>
      </c>
      <c r="O28">
        <v>1252</v>
      </c>
      <c r="P28">
        <v>2295</v>
      </c>
    </row>
    <row r="29" spans="1:16" x14ac:dyDescent="0.3">
      <c r="A29">
        <v>261743</v>
      </c>
      <c r="B29" t="s">
        <v>105</v>
      </c>
      <c r="C29">
        <v>33</v>
      </c>
      <c r="E29" t="s">
        <v>16</v>
      </c>
      <c r="F29" t="s">
        <v>106</v>
      </c>
      <c r="G29" t="s">
        <v>107</v>
      </c>
      <c r="H29" t="s">
        <v>19</v>
      </c>
      <c r="I29" t="s">
        <v>66</v>
      </c>
      <c r="J29" t="s">
        <v>53</v>
      </c>
      <c r="K29" s="2">
        <v>2</v>
      </c>
      <c r="L29">
        <v>1252</v>
      </c>
      <c r="M29">
        <v>2295</v>
      </c>
      <c r="N29">
        <v>2086</v>
      </c>
      <c r="O29">
        <v>2504</v>
      </c>
      <c r="P29">
        <v>4590</v>
      </c>
    </row>
    <row r="30" spans="1:16" ht="7.8" customHeight="1" x14ac:dyDescent="0.3">
      <c r="A30">
        <v>261725</v>
      </c>
      <c r="B30" s="1">
        <v>44541</v>
      </c>
      <c r="C30">
        <v>24</v>
      </c>
      <c r="D30" t="s">
        <v>108</v>
      </c>
      <c r="E30" t="s">
        <v>16</v>
      </c>
      <c r="F30" t="s">
        <v>109</v>
      </c>
      <c r="G30" t="s">
        <v>110</v>
      </c>
      <c r="H30" t="s">
        <v>40</v>
      </c>
      <c r="I30" t="s">
        <v>57</v>
      </c>
      <c r="J30" t="s">
        <v>111</v>
      </c>
      <c r="K30" s="2">
        <v>3</v>
      </c>
      <c r="L30">
        <v>1252</v>
      </c>
      <c r="M30">
        <v>2295</v>
      </c>
      <c r="N30">
        <v>3129</v>
      </c>
      <c r="O30">
        <v>3756</v>
      </c>
      <c r="P30">
        <v>6885</v>
      </c>
    </row>
    <row r="31" spans="1:16" hidden="1" x14ac:dyDescent="0.3">
      <c r="A31">
        <v>261761</v>
      </c>
      <c r="B31" t="e">
        <v>#NAME?</v>
      </c>
      <c r="C31">
        <v>39</v>
      </c>
      <c r="D31" t="s">
        <v>22</v>
      </c>
      <c r="E31" t="s">
        <v>16</v>
      </c>
      <c r="F31" t="s">
        <v>38</v>
      </c>
      <c r="G31" t="s">
        <v>112</v>
      </c>
      <c r="H31" t="s">
        <v>19</v>
      </c>
      <c r="I31" t="s">
        <v>61</v>
      </c>
      <c r="J31" t="s">
        <v>113</v>
      </c>
      <c r="K31" s="2">
        <v>4</v>
      </c>
      <c r="L31">
        <v>1252</v>
      </c>
      <c r="M31">
        <v>2295</v>
      </c>
      <c r="N31">
        <v>4172</v>
      </c>
      <c r="O31">
        <v>5008</v>
      </c>
      <c r="P31">
        <v>9180</v>
      </c>
    </row>
    <row r="32" spans="1:16" x14ac:dyDescent="0.3">
      <c r="A32">
        <v>261703</v>
      </c>
      <c r="B32" s="1">
        <v>44535</v>
      </c>
      <c r="C32">
        <v>39</v>
      </c>
      <c r="D32" t="s">
        <v>37</v>
      </c>
      <c r="E32" t="s">
        <v>16</v>
      </c>
      <c r="F32" t="s">
        <v>23</v>
      </c>
      <c r="G32" t="s">
        <v>78</v>
      </c>
      <c r="H32" t="s">
        <v>40</v>
      </c>
      <c r="I32" t="s">
        <v>43</v>
      </c>
      <c r="J32" t="s">
        <v>75</v>
      </c>
      <c r="K32" s="2">
        <v>4</v>
      </c>
      <c r="L32">
        <v>1252</v>
      </c>
      <c r="M32">
        <v>2295</v>
      </c>
      <c r="N32">
        <v>4172</v>
      </c>
      <c r="O32">
        <v>5008</v>
      </c>
      <c r="P32">
        <v>9180</v>
      </c>
    </row>
    <row r="33" spans="1:16" ht="35.4" customHeight="1" x14ac:dyDescent="0.3">
      <c r="A33">
        <v>261757</v>
      </c>
      <c r="B33" s="1">
        <v>44549</v>
      </c>
      <c r="C33">
        <v>19</v>
      </c>
      <c r="D33" s="2" t="s">
        <v>64</v>
      </c>
      <c r="E33" t="s">
        <v>16</v>
      </c>
      <c r="F33" t="s">
        <v>114</v>
      </c>
      <c r="G33" t="s">
        <v>115</v>
      </c>
      <c r="H33" t="s">
        <v>40</v>
      </c>
      <c r="I33" t="s">
        <v>66</v>
      </c>
      <c r="J33" t="s">
        <v>116</v>
      </c>
      <c r="K33" s="2">
        <v>4</v>
      </c>
      <c r="L33">
        <v>295</v>
      </c>
      <c r="M33">
        <v>540</v>
      </c>
      <c r="N33">
        <v>980</v>
      </c>
      <c r="O33">
        <v>1180</v>
      </c>
      <c r="P33">
        <v>2160</v>
      </c>
    </row>
    <row r="34" spans="1:16" ht="30.6" customHeight="1" x14ac:dyDescent="0.3">
      <c r="A34">
        <v>261700</v>
      </c>
      <c r="B34" t="e">
        <v>#NAME?</v>
      </c>
      <c r="C34">
        <v>24</v>
      </c>
      <c r="D34" t="s">
        <v>108</v>
      </c>
      <c r="E34" t="s">
        <v>16</v>
      </c>
      <c r="F34" t="s">
        <v>117</v>
      </c>
      <c r="G34" t="s">
        <v>118</v>
      </c>
      <c r="H34" t="s">
        <v>34</v>
      </c>
      <c r="I34" t="s">
        <v>20</v>
      </c>
      <c r="J34" t="s">
        <v>53</v>
      </c>
      <c r="K34" s="2">
        <v>1</v>
      </c>
      <c r="L34">
        <v>1252</v>
      </c>
      <c r="M34">
        <v>2295</v>
      </c>
      <c r="N34">
        <v>1043</v>
      </c>
      <c r="O34">
        <v>1252</v>
      </c>
      <c r="P34">
        <v>2295</v>
      </c>
    </row>
    <row r="35" spans="1:16" x14ac:dyDescent="0.3">
      <c r="A35">
        <v>261763</v>
      </c>
      <c r="B35" s="1">
        <v>44549</v>
      </c>
      <c r="D35" t="s">
        <v>119</v>
      </c>
      <c r="E35" t="s">
        <v>31</v>
      </c>
      <c r="F35" t="s">
        <v>28</v>
      </c>
      <c r="G35" t="s">
        <v>120</v>
      </c>
      <c r="H35" t="s">
        <v>34</v>
      </c>
      <c r="I35" t="s">
        <v>71</v>
      </c>
      <c r="J35" t="s">
        <v>121</v>
      </c>
      <c r="K35" s="2">
        <v>2</v>
      </c>
      <c r="L35">
        <v>295</v>
      </c>
      <c r="M35">
        <v>540</v>
      </c>
      <c r="N35">
        <v>490</v>
      </c>
      <c r="O35">
        <v>590</v>
      </c>
      <c r="P35">
        <v>1080</v>
      </c>
    </row>
    <row r="36" spans="1:16" x14ac:dyDescent="0.3">
      <c r="A36">
        <v>261764</v>
      </c>
      <c r="B36" s="1">
        <v>44549</v>
      </c>
      <c r="C36">
        <v>56</v>
      </c>
      <c r="D36" t="s">
        <v>37</v>
      </c>
      <c r="E36" t="s">
        <v>16</v>
      </c>
      <c r="F36" t="s">
        <v>122</v>
      </c>
      <c r="G36" t="s">
        <v>123</v>
      </c>
      <c r="H36" t="s">
        <v>34</v>
      </c>
      <c r="I36" t="s">
        <v>71</v>
      </c>
      <c r="J36" t="s">
        <v>98</v>
      </c>
      <c r="K36" s="2">
        <v>2</v>
      </c>
      <c r="L36">
        <v>1252</v>
      </c>
      <c r="M36">
        <v>2295</v>
      </c>
      <c r="N36">
        <v>2086</v>
      </c>
      <c r="O36">
        <v>2504</v>
      </c>
      <c r="P36">
        <v>4590</v>
      </c>
    </row>
    <row r="37" spans="1:16" ht="38.4" customHeight="1" x14ac:dyDescent="0.3">
      <c r="A37">
        <v>261729</v>
      </c>
      <c r="B37" s="1">
        <v>44541</v>
      </c>
      <c r="C37">
        <v>38</v>
      </c>
      <c r="D37" t="s">
        <v>37</v>
      </c>
      <c r="E37" t="s">
        <v>16</v>
      </c>
      <c r="F37" t="s">
        <v>73</v>
      </c>
      <c r="G37" t="s">
        <v>74</v>
      </c>
      <c r="H37" t="s">
        <v>34</v>
      </c>
      <c r="I37" t="s">
        <v>43</v>
      </c>
      <c r="J37" t="s">
        <v>124</v>
      </c>
      <c r="K37" s="2">
        <v>1</v>
      </c>
      <c r="L37">
        <v>1266</v>
      </c>
      <c r="M37">
        <v>2320</v>
      </c>
      <c r="N37">
        <v>1054</v>
      </c>
      <c r="O37">
        <v>1266</v>
      </c>
      <c r="P37">
        <v>2320</v>
      </c>
    </row>
    <row r="38" spans="1:16" x14ac:dyDescent="0.3">
      <c r="A38">
        <v>261710</v>
      </c>
      <c r="B38" s="1">
        <v>44536</v>
      </c>
      <c r="C38">
        <v>47</v>
      </c>
      <c r="D38" t="s">
        <v>22</v>
      </c>
      <c r="E38" t="s">
        <v>31</v>
      </c>
      <c r="F38" t="s">
        <v>102</v>
      </c>
      <c r="G38" t="s">
        <v>125</v>
      </c>
      <c r="H38" t="s">
        <v>19</v>
      </c>
      <c r="I38" t="s">
        <v>71</v>
      </c>
      <c r="J38" t="s">
        <v>126</v>
      </c>
      <c r="K38" s="2">
        <v>1</v>
      </c>
      <c r="L38">
        <v>1266</v>
      </c>
      <c r="M38">
        <v>2320</v>
      </c>
      <c r="N38">
        <v>1054</v>
      </c>
      <c r="O38">
        <v>1266</v>
      </c>
      <c r="P38">
        <v>2320</v>
      </c>
    </row>
    <row r="39" spans="1:16" x14ac:dyDescent="0.3">
      <c r="A39">
        <v>261770</v>
      </c>
      <c r="B39" s="1">
        <v>44550</v>
      </c>
      <c r="C39">
        <v>35</v>
      </c>
      <c r="D39" t="s">
        <v>49</v>
      </c>
      <c r="E39" t="s">
        <v>31</v>
      </c>
      <c r="F39" t="s">
        <v>80</v>
      </c>
      <c r="G39" t="s">
        <v>127</v>
      </c>
      <c r="H39" t="s">
        <v>19</v>
      </c>
      <c r="I39" t="s">
        <v>41</v>
      </c>
      <c r="J39" t="s">
        <v>58</v>
      </c>
      <c r="K39" s="2">
        <v>1</v>
      </c>
      <c r="L39">
        <v>1266</v>
      </c>
      <c r="M39">
        <v>2320</v>
      </c>
      <c r="N39">
        <v>1054</v>
      </c>
      <c r="O39">
        <v>1266</v>
      </c>
      <c r="P39">
        <v>2320</v>
      </c>
    </row>
    <row r="40" spans="1:16" x14ac:dyDescent="0.3">
      <c r="A40">
        <v>261728</v>
      </c>
      <c r="B40" s="1">
        <v>44541</v>
      </c>
      <c r="C40">
        <v>37</v>
      </c>
      <c r="D40" t="s">
        <v>22</v>
      </c>
      <c r="E40" t="s">
        <v>31</v>
      </c>
      <c r="F40" t="s">
        <v>47</v>
      </c>
      <c r="G40" t="s">
        <v>128</v>
      </c>
      <c r="H40" t="s">
        <v>40</v>
      </c>
      <c r="I40" t="s">
        <v>43</v>
      </c>
      <c r="J40" t="s">
        <v>72</v>
      </c>
      <c r="K40" s="2">
        <v>1</v>
      </c>
      <c r="L40">
        <v>420</v>
      </c>
      <c r="M40">
        <v>769</v>
      </c>
      <c r="N40">
        <v>349</v>
      </c>
      <c r="O40">
        <v>420</v>
      </c>
      <c r="P40">
        <v>769</v>
      </c>
    </row>
    <row r="41" spans="1:16" x14ac:dyDescent="0.3">
      <c r="A41">
        <v>261701</v>
      </c>
      <c r="B41" s="1">
        <v>44533</v>
      </c>
      <c r="C41">
        <v>37</v>
      </c>
      <c r="D41" t="s">
        <v>49</v>
      </c>
      <c r="E41" t="s">
        <v>31</v>
      </c>
      <c r="F41" t="s">
        <v>73</v>
      </c>
      <c r="G41" t="s">
        <v>129</v>
      </c>
      <c r="H41" t="s">
        <v>40</v>
      </c>
      <c r="I41" t="s">
        <v>41</v>
      </c>
      <c r="J41" t="s">
        <v>36</v>
      </c>
      <c r="K41" s="2">
        <v>1</v>
      </c>
      <c r="L41">
        <v>1252</v>
      </c>
      <c r="M41">
        <v>2295</v>
      </c>
      <c r="N41">
        <v>1043</v>
      </c>
      <c r="O41">
        <v>1252</v>
      </c>
      <c r="P41">
        <v>2295</v>
      </c>
    </row>
    <row r="42" spans="1:16" ht="46.8" customHeight="1" x14ac:dyDescent="0.3">
      <c r="A42">
        <v>261747</v>
      </c>
      <c r="B42" s="1">
        <v>44547</v>
      </c>
      <c r="C42">
        <v>31</v>
      </c>
      <c r="D42" t="s">
        <v>27</v>
      </c>
      <c r="E42" t="s">
        <v>31</v>
      </c>
      <c r="F42" t="s">
        <v>65</v>
      </c>
      <c r="G42" t="s">
        <v>130</v>
      </c>
      <c r="H42" t="s">
        <v>40</v>
      </c>
      <c r="I42" t="s">
        <v>35</v>
      </c>
      <c r="J42" t="s">
        <v>131</v>
      </c>
      <c r="K42" s="2">
        <v>1</v>
      </c>
      <c r="L42">
        <v>420</v>
      </c>
      <c r="M42">
        <v>769</v>
      </c>
      <c r="N42">
        <v>349</v>
      </c>
      <c r="O42">
        <v>420</v>
      </c>
      <c r="P42">
        <v>769</v>
      </c>
    </row>
    <row r="43" spans="1:16" x14ac:dyDescent="0.3">
      <c r="A43">
        <v>261721</v>
      </c>
      <c r="B43" s="1">
        <v>44540</v>
      </c>
      <c r="C43">
        <v>26</v>
      </c>
      <c r="D43" t="s">
        <v>27</v>
      </c>
      <c r="E43" t="s">
        <v>31</v>
      </c>
      <c r="F43" t="s">
        <v>102</v>
      </c>
      <c r="G43" t="s">
        <v>118</v>
      </c>
      <c r="H43" t="s">
        <v>19</v>
      </c>
      <c r="I43" t="s">
        <v>43</v>
      </c>
      <c r="J43" t="s">
        <v>132</v>
      </c>
      <c r="K43" s="2">
        <v>1</v>
      </c>
      <c r="L43">
        <v>1252</v>
      </c>
      <c r="M43">
        <v>2295</v>
      </c>
      <c r="N43">
        <v>1043</v>
      </c>
      <c r="O43">
        <v>1252</v>
      </c>
      <c r="P43">
        <v>2295</v>
      </c>
    </row>
    <row r="44" spans="1:16" ht="37.799999999999997" customHeight="1" x14ac:dyDescent="0.3">
      <c r="A44">
        <v>261713</v>
      </c>
      <c r="B44" t="e">
        <v>#NAME?</v>
      </c>
      <c r="C44">
        <v>19</v>
      </c>
      <c r="D44" t="s">
        <v>64</v>
      </c>
      <c r="E44" t="s">
        <v>16</v>
      </c>
      <c r="F44" t="s">
        <v>133</v>
      </c>
      <c r="G44" t="s">
        <v>134</v>
      </c>
      <c r="H44" t="s">
        <v>34</v>
      </c>
      <c r="I44" t="s">
        <v>43</v>
      </c>
      <c r="J44" t="s">
        <v>135</v>
      </c>
      <c r="K44" s="2">
        <v>4</v>
      </c>
      <c r="L44">
        <v>308</v>
      </c>
      <c r="M44">
        <v>565</v>
      </c>
      <c r="N44">
        <v>1028</v>
      </c>
      <c r="O44">
        <v>1232</v>
      </c>
      <c r="P44">
        <v>2260</v>
      </c>
    </row>
    <row r="45" spans="1:16" x14ac:dyDescent="0.3">
      <c r="A45">
        <v>261771</v>
      </c>
      <c r="B45" s="1">
        <v>44551</v>
      </c>
      <c r="C45">
        <v>26</v>
      </c>
      <c r="D45" s="2" t="s">
        <v>68</v>
      </c>
      <c r="E45" t="s">
        <v>31</v>
      </c>
      <c r="F45" t="s">
        <v>136</v>
      </c>
      <c r="G45" t="s">
        <v>137</v>
      </c>
      <c r="H45" t="s">
        <v>34</v>
      </c>
      <c r="I45" t="s">
        <v>35</v>
      </c>
      <c r="J45" t="s">
        <v>92</v>
      </c>
      <c r="K45" s="2">
        <v>3</v>
      </c>
      <c r="L45">
        <v>1266</v>
      </c>
      <c r="M45">
        <v>2320</v>
      </c>
      <c r="N45">
        <v>3162</v>
      </c>
      <c r="O45">
        <v>3798</v>
      </c>
      <c r="P45">
        <v>6960</v>
      </c>
    </row>
    <row r="46" spans="1:16" x14ac:dyDescent="0.3">
      <c r="A46">
        <v>261719</v>
      </c>
      <c r="B46" t="s">
        <v>138</v>
      </c>
      <c r="C46">
        <v>34</v>
      </c>
      <c r="D46" t="s">
        <v>54</v>
      </c>
      <c r="E46" t="s">
        <v>16</v>
      </c>
      <c r="F46" t="s">
        <v>47</v>
      </c>
      <c r="G46" t="s">
        <v>139</v>
      </c>
      <c r="H46" t="s">
        <v>34</v>
      </c>
      <c r="I46" t="s">
        <v>57</v>
      </c>
      <c r="J46" t="s">
        <v>44</v>
      </c>
      <c r="K46" s="2">
        <v>2</v>
      </c>
      <c r="L46">
        <v>1252</v>
      </c>
      <c r="M46">
        <v>2295</v>
      </c>
      <c r="N46">
        <v>2086</v>
      </c>
      <c r="O46">
        <v>2504</v>
      </c>
      <c r="P46">
        <v>4590</v>
      </c>
    </row>
    <row r="47" spans="1:16" x14ac:dyDescent="0.3">
      <c r="A47">
        <v>261763</v>
      </c>
      <c r="B47" s="1">
        <v>44549</v>
      </c>
      <c r="C47">
        <v>18</v>
      </c>
      <c r="D47" t="s">
        <v>119</v>
      </c>
      <c r="E47" t="s">
        <v>31</v>
      </c>
      <c r="F47" t="s">
        <v>28</v>
      </c>
      <c r="G47" t="s">
        <v>120</v>
      </c>
      <c r="H47" t="s">
        <v>34</v>
      </c>
      <c r="I47" t="s">
        <v>71</v>
      </c>
      <c r="J47" t="s">
        <v>121</v>
      </c>
      <c r="K47" s="2">
        <v>2</v>
      </c>
      <c r="L47">
        <v>295</v>
      </c>
      <c r="M47">
        <v>540</v>
      </c>
      <c r="N47">
        <v>490</v>
      </c>
      <c r="O47">
        <v>590</v>
      </c>
      <c r="P47">
        <v>1080</v>
      </c>
    </row>
    <row r="48" spans="1:16" x14ac:dyDescent="0.3">
      <c r="A48">
        <v>261707</v>
      </c>
      <c r="B48" s="1">
        <v>44536</v>
      </c>
      <c r="C48">
        <v>23</v>
      </c>
      <c r="D48" t="s">
        <v>119</v>
      </c>
      <c r="E48" t="s">
        <v>31</v>
      </c>
      <c r="F48" t="s">
        <v>140</v>
      </c>
      <c r="G48" t="s">
        <v>141</v>
      </c>
      <c r="H48" t="s">
        <v>34</v>
      </c>
      <c r="I48" t="s">
        <v>43</v>
      </c>
      <c r="J48" t="s">
        <v>142</v>
      </c>
      <c r="K48" s="2">
        <v>3</v>
      </c>
      <c r="L48">
        <v>420</v>
      </c>
      <c r="M48">
        <v>769</v>
      </c>
      <c r="N48">
        <v>1047</v>
      </c>
      <c r="O48">
        <v>1260</v>
      </c>
      <c r="P48">
        <v>2307</v>
      </c>
    </row>
    <row r="49" spans="1:16" x14ac:dyDescent="0.3">
      <c r="A49">
        <v>261718</v>
      </c>
      <c r="B49" s="1">
        <v>44539</v>
      </c>
      <c r="C49">
        <v>41</v>
      </c>
      <c r="E49" t="s">
        <v>16</v>
      </c>
      <c r="F49" t="s">
        <v>143</v>
      </c>
      <c r="G49" t="s">
        <v>144</v>
      </c>
      <c r="H49" t="s">
        <v>19</v>
      </c>
      <c r="I49" t="s">
        <v>66</v>
      </c>
      <c r="J49" t="s">
        <v>82</v>
      </c>
      <c r="K49" s="2"/>
      <c r="L49">
        <v>1266</v>
      </c>
      <c r="M49">
        <v>2320</v>
      </c>
      <c r="N49">
        <v>1054</v>
      </c>
      <c r="O49">
        <v>1266</v>
      </c>
      <c r="P49">
        <v>2320</v>
      </c>
    </row>
    <row r="50" spans="1:16" x14ac:dyDescent="0.3">
      <c r="A50">
        <v>261698</v>
      </c>
      <c r="B50" s="1">
        <v>44532</v>
      </c>
      <c r="C50">
        <v>31</v>
      </c>
      <c r="D50" t="s">
        <v>27</v>
      </c>
      <c r="E50" t="s">
        <v>16</v>
      </c>
      <c r="F50" t="s">
        <v>133</v>
      </c>
      <c r="G50" t="s">
        <v>145</v>
      </c>
      <c r="H50" t="s">
        <v>19</v>
      </c>
      <c r="I50" t="s">
        <v>52</v>
      </c>
      <c r="J50" t="s">
        <v>146</v>
      </c>
      <c r="K50" s="2">
        <v>1</v>
      </c>
      <c r="L50">
        <v>420</v>
      </c>
      <c r="M50">
        <v>769</v>
      </c>
      <c r="N50">
        <v>349</v>
      </c>
      <c r="O50">
        <v>420</v>
      </c>
      <c r="P50">
        <v>769</v>
      </c>
    </row>
    <row r="51" spans="1:16" x14ac:dyDescent="0.3">
      <c r="A51">
        <v>261711</v>
      </c>
      <c r="B51" t="s">
        <v>147</v>
      </c>
      <c r="C51">
        <v>30</v>
      </c>
      <c r="E51" t="s">
        <v>31</v>
      </c>
      <c r="F51" t="s">
        <v>38</v>
      </c>
      <c r="G51" t="s">
        <v>148</v>
      </c>
      <c r="H51" t="s">
        <v>19</v>
      </c>
      <c r="I51" t="s">
        <v>97</v>
      </c>
      <c r="J51" t="s">
        <v>149</v>
      </c>
      <c r="K51" s="2">
        <v>4</v>
      </c>
      <c r="L51">
        <v>420</v>
      </c>
      <c r="M51">
        <v>769</v>
      </c>
      <c r="N51">
        <v>1396</v>
      </c>
      <c r="O51">
        <v>1680</v>
      </c>
      <c r="P51">
        <v>3076</v>
      </c>
    </row>
    <row r="52" spans="1:16" x14ac:dyDescent="0.3">
      <c r="A52">
        <v>261732</v>
      </c>
      <c r="B52" s="1">
        <v>44542</v>
      </c>
      <c r="E52" t="s">
        <v>31</v>
      </c>
      <c r="F52" t="s">
        <v>32</v>
      </c>
      <c r="G52" t="s">
        <v>150</v>
      </c>
      <c r="H52" t="s">
        <v>34</v>
      </c>
      <c r="I52" t="s">
        <v>35</v>
      </c>
      <c r="J52" t="s">
        <v>53</v>
      </c>
      <c r="K52" s="2">
        <v>2</v>
      </c>
      <c r="L52">
        <v>1252</v>
      </c>
      <c r="M52">
        <v>2295</v>
      </c>
      <c r="N52">
        <v>2086</v>
      </c>
      <c r="O52">
        <v>2504</v>
      </c>
      <c r="P52">
        <v>4590</v>
      </c>
    </row>
    <row r="53" spans="1:16" x14ac:dyDescent="0.3">
      <c r="A53">
        <v>261702</v>
      </c>
      <c r="B53" s="1">
        <v>44534</v>
      </c>
      <c r="C53">
        <v>31</v>
      </c>
      <c r="D53" t="s">
        <v>68</v>
      </c>
      <c r="E53" t="s">
        <v>16</v>
      </c>
      <c r="F53" t="s">
        <v>151</v>
      </c>
      <c r="G53" t="s">
        <v>152</v>
      </c>
      <c r="H53" t="s">
        <v>40</v>
      </c>
      <c r="I53" t="s">
        <v>57</v>
      </c>
      <c r="J53" t="s">
        <v>131</v>
      </c>
      <c r="K53" s="2">
        <v>4</v>
      </c>
      <c r="L53">
        <v>420</v>
      </c>
      <c r="M53">
        <v>0</v>
      </c>
      <c r="N53">
        <v>1396</v>
      </c>
      <c r="O53">
        <v>1680</v>
      </c>
      <c r="P53">
        <v>0</v>
      </c>
    </row>
    <row r="54" spans="1:16" x14ac:dyDescent="0.3">
      <c r="A54">
        <v>261779</v>
      </c>
      <c r="B54" s="1">
        <v>44553</v>
      </c>
      <c r="C54">
        <v>30</v>
      </c>
      <c r="D54" t="s">
        <v>54</v>
      </c>
      <c r="E54" t="s">
        <v>16</v>
      </c>
      <c r="F54" t="s">
        <v>55</v>
      </c>
      <c r="G54" t="s">
        <v>153</v>
      </c>
      <c r="H54" t="s">
        <v>19</v>
      </c>
      <c r="I54" t="s">
        <v>101</v>
      </c>
      <c r="J54" t="s">
        <v>82</v>
      </c>
      <c r="K54" s="2">
        <v>1</v>
      </c>
      <c r="L54">
        <v>1266</v>
      </c>
      <c r="M54">
        <v>2320</v>
      </c>
      <c r="N54">
        <v>1054</v>
      </c>
      <c r="O54">
        <v>1266</v>
      </c>
      <c r="P54">
        <v>2320</v>
      </c>
    </row>
    <row r="55" spans="1:16" x14ac:dyDescent="0.3">
      <c r="A55">
        <v>261701</v>
      </c>
      <c r="B55" s="1">
        <v>44533</v>
      </c>
      <c r="D55" t="s">
        <v>37</v>
      </c>
      <c r="E55" t="s">
        <v>31</v>
      </c>
      <c r="F55" t="s">
        <v>154</v>
      </c>
      <c r="G55" t="s">
        <v>155</v>
      </c>
      <c r="H55" t="s">
        <v>40</v>
      </c>
      <c r="I55" t="s">
        <v>35</v>
      </c>
      <c r="J55" t="s">
        <v>36</v>
      </c>
      <c r="K55" s="2">
        <v>1</v>
      </c>
      <c r="L55">
        <v>1252</v>
      </c>
      <c r="M55">
        <v>2295</v>
      </c>
      <c r="N55">
        <v>1043</v>
      </c>
      <c r="O55">
        <v>1252</v>
      </c>
      <c r="P55">
        <v>2295</v>
      </c>
    </row>
    <row r="56" spans="1:16" ht="37.799999999999997" customHeight="1" x14ac:dyDescent="0.3">
      <c r="A56">
        <v>261756</v>
      </c>
      <c r="B56" s="1">
        <v>44549</v>
      </c>
      <c r="C56">
        <v>17</v>
      </c>
      <c r="D56" t="s">
        <v>64</v>
      </c>
      <c r="E56" t="s">
        <v>31</v>
      </c>
      <c r="F56" t="s">
        <v>156</v>
      </c>
      <c r="G56" t="s">
        <v>157</v>
      </c>
      <c r="H56" t="s">
        <v>34</v>
      </c>
      <c r="I56" t="s">
        <v>104</v>
      </c>
      <c r="J56" t="s">
        <v>158</v>
      </c>
      <c r="K56" s="2"/>
      <c r="L56">
        <v>1266</v>
      </c>
      <c r="M56">
        <v>2320</v>
      </c>
      <c r="N56">
        <v>4216</v>
      </c>
      <c r="O56">
        <v>5064</v>
      </c>
      <c r="P56">
        <v>9280</v>
      </c>
    </row>
    <row r="57" spans="1:16" ht="53.4" customHeight="1" x14ac:dyDescent="0.3">
      <c r="A57">
        <v>261730</v>
      </c>
      <c r="B57" s="1">
        <v>44542</v>
      </c>
      <c r="C57">
        <v>36</v>
      </c>
      <c r="D57" t="s">
        <v>49</v>
      </c>
      <c r="E57" t="s">
        <v>16</v>
      </c>
      <c r="F57" t="s">
        <v>28</v>
      </c>
      <c r="G57" t="s">
        <v>159</v>
      </c>
      <c r="H57" t="s">
        <v>19</v>
      </c>
      <c r="I57" t="s">
        <v>104</v>
      </c>
      <c r="J57" t="s">
        <v>82</v>
      </c>
      <c r="K57" s="2">
        <v>4</v>
      </c>
      <c r="L57">
        <v>1266</v>
      </c>
      <c r="M57">
        <v>2320</v>
      </c>
      <c r="N57">
        <v>4216</v>
      </c>
      <c r="O57">
        <v>5064</v>
      </c>
      <c r="P57">
        <v>9280</v>
      </c>
    </row>
    <row r="58" spans="1:16" x14ac:dyDescent="0.3">
      <c r="A58">
        <v>261777</v>
      </c>
      <c r="B58" s="1">
        <v>44552</v>
      </c>
      <c r="C58">
        <v>27</v>
      </c>
      <c r="D58" t="s">
        <v>54</v>
      </c>
      <c r="E58" t="s">
        <v>16</v>
      </c>
      <c r="F58" t="s">
        <v>160</v>
      </c>
      <c r="G58" t="s">
        <v>161</v>
      </c>
      <c r="H58" t="s">
        <v>34</v>
      </c>
      <c r="I58" t="s">
        <v>104</v>
      </c>
      <c r="J58" t="s">
        <v>75</v>
      </c>
      <c r="K58" s="2">
        <v>1</v>
      </c>
      <c r="L58">
        <v>1252</v>
      </c>
      <c r="M58">
        <v>2295</v>
      </c>
      <c r="N58">
        <v>1043</v>
      </c>
      <c r="O58">
        <v>1252</v>
      </c>
      <c r="P58">
        <v>2295</v>
      </c>
    </row>
    <row r="59" spans="1:16" x14ac:dyDescent="0.3">
      <c r="A59">
        <v>261750</v>
      </c>
      <c r="B59" s="1">
        <v>44548</v>
      </c>
      <c r="C59">
        <v>38</v>
      </c>
      <c r="D59" t="s">
        <v>22</v>
      </c>
      <c r="E59" t="s">
        <v>16</v>
      </c>
      <c r="F59" t="s">
        <v>162</v>
      </c>
      <c r="G59" t="s">
        <v>51</v>
      </c>
      <c r="H59" t="s">
        <v>40</v>
      </c>
      <c r="I59" t="s">
        <v>20</v>
      </c>
      <c r="J59" t="s">
        <v>163</v>
      </c>
      <c r="K59" s="2">
        <v>4</v>
      </c>
      <c r="L59">
        <v>1266</v>
      </c>
      <c r="M59">
        <v>2320</v>
      </c>
      <c r="N59">
        <v>4216</v>
      </c>
      <c r="O59">
        <v>5064</v>
      </c>
      <c r="P59">
        <v>9280</v>
      </c>
    </row>
    <row r="60" spans="1:16" ht="32.4" customHeight="1" x14ac:dyDescent="0.3">
      <c r="A60">
        <v>261770</v>
      </c>
      <c r="B60" t="e">
        <v>#NAME?</v>
      </c>
      <c r="C60">
        <v>35</v>
      </c>
      <c r="D60" t="s">
        <v>49</v>
      </c>
      <c r="E60" t="s">
        <v>31</v>
      </c>
      <c r="F60" t="s">
        <v>80</v>
      </c>
      <c r="G60" t="s">
        <v>127</v>
      </c>
      <c r="H60" t="s">
        <v>19</v>
      </c>
      <c r="I60" t="s">
        <v>41</v>
      </c>
      <c r="J60" t="s">
        <v>58</v>
      </c>
      <c r="K60" s="2">
        <v>1</v>
      </c>
      <c r="L60">
        <v>1266</v>
      </c>
      <c r="M60">
        <v>2320</v>
      </c>
      <c r="N60">
        <v>1054</v>
      </c>
      <c r="O60">
        <v>1266</v>
      </c>
      <c r="P60">
        <v>2320</v>
      </c>
    </row>
    <row r="61" spans="1:16" x14ac:dyDescent="0.3">
      <c r="A61">
        <v>261748</v>
      </c>
      <c r="B61" s="1">
        <v>44547</v>
      </c>
      <c r="C61">
        <v>42</v>
      </c>
      <c r="D61" t="s">
        <v>22</v>
      </c>
      <c r="E61" t="s">
        <v>16</v>
      </c>
      <c r="F61" t="s">
        <v>164</v>
      </c>
      <c r="G61" t="s">
        <v>165</v>
      </c>
      <c r="H61" t="s">
        <v>40</v>
      </c>
      <c r="I61" t="s">
        <v>43</v>
      </c>
      <c r="J61" t="s">
        <v>163</v>
      </c>
      <c r="K61" s="2">
        <v>1</v>
      </c>
      <c r="L61">
        <v>1266</v>
      </c>
      <c r="M61">
        <v>2320</v>
      </c>
      <c r="N61">
        <v>1054</v>
      </c>
      <c r="O61">
        <v>1266</v>
      </c>
      <c r="P61">
        <v>2320</v>
      </c>
    </row>
    <row r="62" spans="1:16" x14ac:dyDescent="0.3">
      <c r="A62">
        <v>261737</v>
      </c>
      <c r="B62" s="1">
        <v>44543</v>
      </c>
      <c r="C62">
        <v>44</v>
      </c>
      <c r="D62" t="s">
        <v>22</v>
      </c>
      <c r="E62" t="s">
        <v>16</v>
      </c>
      <c r="F62" t="s">
        <v>166</v>
      </c>
      <c r="G62" t="s">
        <v>103</v>
      </c>
      <c r="H62" t="s">
        <v>19</v>
      </c>
      <c r="I62" t="s">
        <v>101</v>
      </c>
      <c r="J62" t="s">
        <v>167</v>
      </c>
      <c r="K62" s="2">
        <v>1</v>
      </c>
      <c r="L62">
        <v>1252</v>
      </c>
      <c r="M62">
        <v>2295</v>
      </c>
      <c r="N62">
        <v>1043</v>
      </c>
      <c r="O62">
        <v>1252</v>
      </c>
      <c r="P62">
        <v>2295</v>
      </c>
    </row>
    <row r="63" spans="1:16" x14ac:dyDescent="0.3">
      <c r="A63">
        <v>261744</v>
      </c>
      <c r="B63" s="1">
        <v>44546</v>
      </c>
      <c r="C63">
        <v>38</v>
      </c>
      <c r="D63" t="s">
        <v>49</v>
      </c>
      <c r="E63" t="s">
        <v>31</v>
      </c>
      <c r="F63" t="s">
        <v>80</v>
      </c>
      <c r="G63" t="s">
        <v>168</v>
      </c>
      <c r="H63" t="s">
        <v>19</v>
      </c>
      <c r="I63" t="s">
        <v>41</v>
      </c>
      <c r="J63" t="s">
        <v>111</v>
      </c>
      <c r="K63" s="2">
        <v>2</v>
      </c>
      <c r="L63">
        <v>1252</v>
      </c>
      <c r="M63">
        <v>2295</v>
      </c>
      <c r="N63">
        <v>2086</v>
      </c>
      <c r="O63">
        <v>2504</v>
      </c>
      <c r="P63">
        <v>4590</v>
      </c>
    </row>
    <row r="64" spans="1:16" x14ac:dyDescent="0.3">
      <c r="A64">
        <v>261758</v>
      </c>
      <c r="B64" s="1">
        <v>44549</v>
      </c>
      <c r="C64">
        <v>25</v>
      </c>
      <c r="E64" t="s">
        <v>31</v>
      </c>
      <c r="F64" t="s">
        <v>169</v>
      </c>
      <c r="G64" t="s">
        <v>170</v>
      </c>
      <c r="H64" t="s">
        <v>19</v>
      </c>
      <c r="I64" t="s">
        <v>52</v>
      </c>
      <c r="J64" t="s">
        <v>53</v>
      </c>
      <c r="K64" s="2">
        <v>4</v>
      </c>
      <c r="L64">
        <v>1252</v>
      </c>
      <c r="M64">
        <v>2295</v>
      </c>
      <c r="N64">
        <v>4172</v>
      </c>
      <c r="O64">
        <v>5008</v>
      </c>
      <c r="P64">
        <v>9180</v>
      </c>
    </row>
    <row r="65" spans="1:16" x14ac:dyDescent="0.3">
      <c r="A65">
        <v>261740</v>
      </c>
      <c r="B65" s="1">
        <v>44544</v>
      </c>
      <c r="C65">
        <v>32</v>
      </c>
      <c r="D65" t="s">
        <v>54</v>
      </c>
      <c r="E65" t="s">
        <v>31</v>
      </c>
      <c r="F65" t="s">
        <v>55</v>
      </c>
      <c r="G65" t="s">
        <v>171</v>
      </c>
      <c r="H65" t="s">
        <v>40</v>
      </c>
      <c r="I65" t="s">
        <v>66</v>
      </c>
      <c r="J65" t="s">
        <v>21</v>
      </c>
      <c r="K65" s="2">
        <v>1</v>
      </c>
      <c r="L65">
        <v>1252</v>
      </c>
      <c r="M65">
        <v>2295</v>
      </c>
      <c r="N65">
        <v>1043</v>
      </c>
      <c r="O65">
        <v>1252</v>
      </c>
      <c r="P65">
        <v>2295</v>
      </c>
    </row>
    <row r="66" spans="1:16" x14ac:dyDescent="0.3">
      <c r="A66">
        <v>261759</v>
      </c>
      <c r="B66" s="1">
        <v>44549</v>
      </c>
      <c r="C66">
        <v>35</v>
      </c>
      <c r="D66" t="s">
        <v>22</v>
      </c>
      <c r="E66" t="s">
        <v>16</v>
      </c>
      <c r="F66" t="s">
        <v>23</v>
      </c>
      <c r="G66" t="s">
        <v>172</v>
      </c>
      <c r="H66" t="s">
        <v>19</v>
      </c>
      <c r="I66" t="s">
        <v>20</v>
      </c>
      <c r="J66" t="s">
        <v>173</v>
      </c>
      <c r="K66" s="2">
        <v>4</v>
      </c>
      <c r="L66">
        <v>1898</v>
      </c>
      <c r="M66">
        <v>3375</v>
      </c>
      <c r="N66">
        <v>5908</v>
      </c>
      <c r="O66">
        <v>7592</v>
      </c>
      <c r="P66">
        <v>13500</v>
      </c>
    </row>
    <row r="67" spans="1:16" x14ac:dyDescent="0.3">
      <c r="A67">
        <v>261755</v>
      </c>
      <c r="B67" s="1">
        <v>44548</v>
      </c>
      <c r="C67">
        <v>36</v>
      </c>
      <c r="D67" t="s">
        <v>22</v>
      </c>
      <c r="E67" t="s">
        <v>31</v>
      </c>
      <c r="F67" t="s">
        <v>38</v>
      </c>
      <c r="G67" t="s">
        <v>174</v>
      </c>
      <c r="H67" t="s">
        <v>34</v>
      </c>
      <c r="I67" t="s">
        <v>57</v>
      </c>
      <c r="J67" t="s">
        <v>124</v>
      </c>
      <c r="K67" s="2">
        <v>1</v>
      </c>
      <c r="L67">
        <v>1266</v>
      </c>
      <c r="M67">
        <v>2320</v>
      </c>
      <c r="N67">
        <v>1054</v>
      </c>
      <c r="O67">
        <v>1266</v>
      </c>
      <c r="P67">
        <v>2320</v>
      </c>
    </row>
    <row r="68" spans="1:16" x14ac:dyDescent="0.3">
      <c r="A68">
        <v>261704</v>
      </c>
      <c r="B68" t="e">
        <v>#NAME?</v>
      </c>
      <c r="C68">
        <v>42</v>
      </c>
      <c r="D68" t="s">
        <v>49</v>
      </c>
      <c r="E68" t="s">
        <v>31</v>
      </c>
      <c r="F68" t="s">
        <v>50</v>
      </c>
      <c r="G68" t="s">
        <v>51</v>
      </c>
      <c r="H68" t="s">
        <v>40</v>
      </c>
      <c r="I68" t="s">
        <v>52</v>
      </c>
      <c r="J68" t="s">
        <v>53</v>
      </c>
      <c r="K68" s="2">
        <v>4</v>
      </c>
      <c r="L68">
        <v>1252</v>
      </c>
      <c r="M68">
        <v>2295</v>
      </c>
      <c r="N68">
        <v>4172</v>
      </c>
      <c r="O68">
        <v>5008</v>
      </c>
      <c r="P68">
        <v>9180</v>
      </c>
    </row>
    <row r="69" spans="1:16" ht="60.6" customHeight="1" x14ac:dyDescent="0.3">
      <c r="A69">
        <v>261769</v>
      </c>
      <c r="B69" s="1">
        <v>44550</v>
      </c>
      <c r="C69">
        <v>35</v>
      </c>
      <c r="D69" t="s">
        <v>37</v>
      </c>
      <c r="E69" t="s">
        <v>16</v>
      </c>
      <c r="F69" t="s">
        <v>93</v>
      </c>
      <c r="G69" t="s">
        <v>175</v>
      </c>
      <c r="H69" s="2" t="s">
        <v>19</v>
      </c>
      <c r="I69" t="s">
        <v>104</v>
      </c>
      <c r="J69" t="s">
        <v>124</v>
      </c>
      <c r="K69" s="2">
        <v>1</v>
      </c>
      <c r="L69">
        <v>1266</v>
      </c>
      <c r="M69">
        <v>2320</v>
      </c>
      <c r="N69">
        <v>1054</v>
      </c>
      <c r="O69">
        <v>1266</v>
      </c>
      <c r="P69">
        <v>2320</v>
      </c>
    </row>
    <row r="70" spans="1:16" x14ac:dyDescent="0.3">
      <c r="A70">
        <v>261735</v>
      </c>
      <c r="B70" t="e">
        <v>#NAME?</v>
      </c>
      <c r="C70">
        <v>32</v>
      </c>
      <c r="D70" t="s">
        <v>54</v>
      </c>
      <c r="E70" t="s">
        <v>16</v>
      </c>
      <c r="F70" t="s">
        <v>151</v>
      </c>
      <c r="G70" t="s">
        <v>176</v>
      </c>
      <c r="H70" t="s">
        <v>19</v>
      </c>
      <c r="I70" t="s">
        <v>97</v>
      </c>
      <c r="J70" t="s">
        <v>177</v>
      </c>
      <c r="K70" s="2">
        <v>3</v>
      </c>
      <c r="L70">
        <v>1266</v>
      </c>
      <c r="M70">
        <v>2320</v>
      </c>
      <c r="N70">
        <v>3162</v>
      </c>
      <c r="O70">
        <v>3798</v>
      </c>
      <c r="P70">
        <v>6960</v>
      </c>
    </row>
    <row r="71" spans="1:16" x14ac:dyDescent="0.3">
      <c r="A71">
        <v>261752</v>
      </c>
      <c r="B71" s="1">
        <v>44548</v>
      </c>
      <c r="C71">
        <v>26</v>
      </c>
      <c r="D71" t="s">
        <v>54</v>
      </c>
      <c r="E71" t="s">
        <v>16</v>
      </c>
      <c r="F71" t="s">
        <v>166</v>
      </c>
      <c r="G71" t="s">
        <v>178</v>
      </c>
      <c r="H71" t="s">
        <v>34</v>
      </c>
      <c r="I71" t="s">
        <v>43</v>
      </c>
      <c r="J71" t="s">
        <v>179</v>
      </c>
      <c r="K71" s="2">
        <v>3</v>
      </c>
      <c r="L71">
        <v>420</v>
      </c>
      <c r="M71">
        <v>769</v>
      </c>
      <c r="N71">
        <v>1047</v>
      </c>
      <c r="O71">
        <v>1260</v>
      </c>
      <c r="P71">
        <v>2307</v>
      </c>
    </row>
    <row r="72" spans="1:16" x14ac:dyDescent="0.3">
      <c r="A72">
        <v>261742</v>
      </c>
      <c r="B72" s="1">
        <v>44545</v>
      </c>
      <c r="C72">
        <v>29</v>
      </c>
      <c r="D72" t="s">
        <v>27</v>
      </c>
      <c r="E72" t="s">
        <v>16</v>
      </c>
      <c r="F72" t="s">
        <v>38</v>
      </c>
      <c r="G72" t="s">
        <v>180</v>
      </c>
      <c r="H72" t="s">
        <v>40</v>
      </c>
      <c r="I72" t="s">
        <v>25</v>
      </c>
      <c r="J72" t="s">
        <v>181</v>
      </c>
      <c r="K72" s="2">
        <v>1</v>
      </c>
      <c r="L72">
        <v>1266</v>
      </c>
      <c r="M72">
        <v>2320</v>
      </c>
      <c r="N72">
        <v>1054</v>
      </c>
      <c r="O72">
        <v>1266</v>
      </c>
      <c r="P72">
        <v>2320</v>
      </c>
    </row>
    <row r="73" spans="1:16" x14ac:dyDescent="0.3">
      <c r="A73">
        <v>261782</v>
      </c>
      <c r="B73" s="1">
        <v>44554</v>
      </c>
      <c r="C73">
        <v>38</v>
      </c>
      <c r="E73" t="s">
        <v>31</v>
      </c>
      <c r="F73" t="s">
        <v>182</v>
      </c>
      <c r="G73" t="s">
        <v>33</v>
      </c>
      <c r="H73" t="s">
        <v>19</v>
      </c>
      <c r="I73" t="s">
        <v>25</v>
      </c>
      <c r="J73" t="s">
        <v>183</v>
      </c>
      <c r="K73" s="2">
        <v>4</v>
      </c>
      <c r="L73">
        <v>1252</v>
      </c>
      <c r="M73">
        <v>2295</v>
      </c>
      <c r="N73">
        <v>4172</v>
      </c>
      <c r="O73">
        <v>5008</v>
      </c>
      <c r="P73">
        <v>9180</v>
      </c>
    </row>
    <row r="74" spans="1:16" x14ac:dyDescent="0.3">
      <c r="A74">
        <v>261751</v>
      </c>
      <c r="B74" t="e">
        <v>#NAME?</v>
      </c>
      <c r="C74">
        <v>24</v>
      </c>
      <c r="D74" t="s">
        <v>64</v>
      </c>
      <c r="E74" t="s">
        <v>16</v>
      </c>
      <c r="F74" t="s">
        <v>184</v>
      </c>
      <c r="G74" t="s">
        <v>185</v>
      </c>
      <c r="H74" t="s">
        <v>40</v>
      </c>
      <c r="I74" t="s">
        <v>43</v>
      </c>
      <c r="J74" t="s">
        <v>126</v>
      </c>
      <c r="K74" s="2">
        <v>3</v>
      </c>
      <c r="L74">
        <v>1266</v>
      </c>
      <c r="M74">
        <v>2320</v>
      </c>
      <c r="N74">
        <v>3162</v>
      </c>
      <c r="O74">
        <v>3798</v>
      </c>
      <c r="P74">
        <v>6960</v>
      </c>
    </row>
    <row r="75" spans="1:16" x14ac:dyDescent="0.3">
      <c r="A75">
        <v>261726</v>
      </c>
      <c r="B75" s="1">
        <v>44541</v>
      </c>
      <c r="D75" t="s">
        <v>22</v>
      </c>
      <c r="E75" t="s">
        <v>16</v>
      </c>
      <c r="F75" t="s">
        <v>99</v>
      </c>
      <c r="G75" t="s">
        <v>159</v>
      </c>
      <c r="H75" t="s">
        <v>19</v>
      </c>
      <c r="I75" t="s">
        <v>52</v>
      </c>
      <c r="J75" t="s">
        <v>149</v>
      </c>
      <c r="K75" s="2">
        <v>2</v>
      </c>
      <c r="L75">
        <v>420</v>
      </c>
      <c r="M75">
        <v>769</v>
      </c>
      <c r="N75">
        <v>698</v>
      </c>
      <c r="O75">
        <v>840</v>
      </c>
      <c r="P75">
        <v>1538</v>
      </c>
    </row>
    <row r="76" spans="1:16" x14ac:dyDescent="0.3">
      <c r="A76">
        <v>261758</v>
      </c>
      <c r="B76" s="1">
        <v>44549</v>
      </c>
      <c r="C76">
        <v>25</v>
      </c>
      <c r="D76" t="s">
        <v>27</v>
      </c>
      <c r="E76" t="s">
        <v>31</v>
      </c>
      <c r="F76" t="s">
        <v>169</v>
      </c>
      <c r="G76" t="s">
        <v>170</v>
      </c>
      <c r="H76" t="s">
        <v>19</v>
      </c>
      <c r="I76" t="s">
        <v>52</v>
      </c>
      <c r="J76" t="s">
        <v>53</v>
      </c>
      <c r="K76" s="2">
        <v>4</v>
      </c>
      <c r="L76">
        <v>1252</v>
      </c>
      <c r="M76">
        <v>2295</v>
      </c>
      <c r="N76">
        <v>4172</v>
      </c>
      <c r="O76">
        <v>5008</v>
      </c>
      <c r="P76">
        <v>9180</v>
      </c>
    </row>
    <row r="77" spans="1:16" x14ac:dyDescent="0.3">
      <c r="A77">
        <v>261753</v>
      </c>
      <c r="B77" s="1">
        <v>44548</v>
      </c>
      <c r="C77">
        <v>39</v>
      </c>
      <c r="D77" t="s">
        <v>37</v>
      </c>
      <c r="E77" t="s">
        <v>31</v>
      </c>
      <c r="F77" t="s">
        <v>47</v>
      </c>
      <c r="G77" t="s">
        <v>128</v>
      </c>
      <c r="H77" t="s">
        <v>34</v>
      </c>
      <c r="I77" t="s">
        <v>101</v>
      </c>
      <c r="J77" t="s">
        <v>44</v>
      </c>
      <c r="K77" s="2">
        <v>3</v>
      </c>
      <c r="L77">
        <v>1252</v>
      </c>
      <c r="M77">
        <v>2295</v>
      </c>
      <c r="N77">
        <v>3129</v>
      </c>
      <c r="O77">
        <v>3756</v>
      </c>
      <c r="P77">
        <v>6885</v>
      </c>
    </row>
    <row r="78" spans="1:16" ht="34.799999999999997" customHeight="1" x14ac:dyDescent="0.3">
      <c r="A78">
        <v>261757</v>
      </c>
      <c r="B78" t="s">
        <v>186</v>
      </c>
      <c r="D78" t="s">
        <v>64</v>
      </c>
      <c r="E78" t="s">
        <v>16</v>
      </c>
      <c r="F78" t="s">
        <v>114</v>
      </c>
      <c r="G78" t="s">
        <v>115</v>
      </c>
      <c r="H78" t="s">
        <v>40</v>
      </c>
      <c r="I78" t="s">
        <v>66</v>
      </c>
      <c r="J78" t="s">
        <v>116</v>
      </c>
      <c r="K78" s="2">
        <v>4</v>
      </c>
      <c r="L78">
        <v>295</v>
      </c>
      <c r="M78">
        <v>540</v>
      </c>
      <c r="N78">
        <v>980</v>
      </c>
      <c r="O78">
        <v>1180</v>
      </c>
      <c r="P78">
        <v>2160</v>
      </c>
    </row>
    <row r="79" spans="1:16" x14ac:dyDescent="0.3">
      <c r="A79">
        <v>261774</v>
      </c>
      <c r="B79" t="e">
        <v>#NAME?</v>
      </c>
      <c r="C79">
        <v>41</v>
      </c>
      <c r="D79" t="s">
        <v>49</v>
      </c>
      <c r="E79" t="s">
        <v>31</v>
      </c>
      <c r="F79" t="s">
        <v>47</v>
      </c>
      <c r="G79" t="s">
        <v>128</v>
      </c>
      <c r="H79" t="s">
        <v>34</v>
      </c>
      <c r="I79" t="s">
        <v>101</v>
      </c>
      <c r="J79" t="s">
        <v>44</v>
      </c>
      <c r="K79" s="2">
        <v>3</v>
      </c>
      <c r="L79">
        <v>1252</v>
      </c>
      <c r="M79">
        <v>2295</v>
      </c>
      <c r="N79">
        <v>3129</v>
      </c>
      <c r="O79">
        <v>3756</v>
      </c>
      <c r="P79">
        <v>6885</v>
      </c>
    </row>
    <row r="80" spans="1:16" x14ac:dyDescent="0.3">
      <c r="A80">
        <v>261731</v>
      </c>
      <c r="B80" t="s">
        <v>187</v>
      </c>
      <c r="C80">
        <v>37</v>
      </c>
      <c r="D80" t="s">
        <v>37</v>
      </c>
      <c r="E80" t="s">
        <v>31</v>
      </c>
      <c r="F80" t="s">
        <v>47</v>
      </c>
      <c r="G80" t="s">
        <v>78</v>
      </c>
      <c r="H80" t="s">
        <v>19</v>
      </c>
      <c r="I80" t="s">
        <v>57</v>
      </c>
      <c r="J80" t="s">
        <v>188</v>
      </c>
      <c r="K80" s="2">
        <v>4</v>
      </c>
      <c r="L80">
        <v>420</v>
      </c>
      <c r="M80">
        <v>769</v>
      </c>
      <c r="N80">
        <v>1396</v>
      </c>
      <c r="O80">
        <v>1680</v>
      </c>
      <c r="P80">
        <v>3076</v>
      </c>
    </row>
    <row r="81" spans="1:16" ht="35.4" customHeight="1" x14ac:dyDescent="0.3">
      <c r="A81">
        <v>261723</v>
      </c>
      <c r="B81" s="1">
        <v>44540</v>
      </c>
      <c r="C81">
        <v>34</v>
      </c>
      <c r="D81" t="s">
        <v>27</v>
      </c>
      <c r="E81" t="s">
        <v>16</v>
      </c>
      <c r="F81" s="2" t="s">
        <v>47</v>
      </c>
      <c r="G81" t="s">
        <v>189</v>
      </c>
      <c r="H81" t="s">
        <v>19</v>
      </c>
      <c r="I81" t="s">
        <v>66</v>
      </c>
      <c r="J81" t="s">
        <v>190</v>
      </c>
      <c r="K81" s="2">
        <v>1</v>
      </c>
      <c r="L81">
        <v>1912</v>
      </c>
      <c r="M81">
        <v>3400</v>
      </c>
      <c r="N81">
        <v>1488</v>
      </c>
      <c r="O81">
        <v>1912</v>
      </c>
      <c r="P81">
        <v>3400</v>
      </c>
    </row>
    <row r="82" spans="1:16" x14ac:dyDescent="0.3">
      <c r="A82">
        <v>261695</v>
      </c>
      <c r="B82" s="1">
        <v>44531</v>
      </c>
      <c r="C82">
        <v>44</v>
      </c>
      <c r="D82" t="s">
        <v>22</v>
      </c>
      <c r="E82" t="s">
        <v>31</v>
      </c>
      <c r="F82" t="s">
        <v>191</v>
      </c>
      <c r="G82" t="s">
        <v>192</v>
      </c>
      <c r="H82" t="s">
        <v>40</v>
      </c>
      <c r="I82" t="s">
        <v>25</v>
      </c>
      <c r="J82" t="s">
        <v>177</v>
      </c>
      <c r="K82" s="2">
        <v>1</v>
      </c>
      <c r="L82">
        <v>1266</v>
      </c>
      <c r="M82">
        <v>2320</v>
      </c>
      <c r="N82">
        <v>1054</v>
      </c>
      <c r="O82">
        <v>1266</v>
      </c>
      <c r="P82">
        <v>2320</v>
      </c>
    </row>
    <row r="83" spans="1:16" ht="31.2" customHeight="1" x14ac:dyDescent="0.3">
      <c r="A83">
        <v>261746</v>
      </c>
      <c r="B83" s="1">
        <v>44547</v>
      </c>
      <c r="C83">
        <v>37</v>
      </c>
      <c r="D83" t="s">
        <v>22</v>
      </c>
      <c r="E83" t="s">
        <v>16</v>
      </c>
      <c r="F83" s="2" t="s">
        <v>55</v>
      </c>
      <c r="G83" t="s">
        <v>193</v>
      </c>
      <c r="H83" t="s">
        <v>19</v>
      </c>
      <c r="I83" t="s">
        <v>194</v>
      </c>
      <c r="J83" t="s">
        <v>92</v>
      </c>
      <c r="K83" s="2">
        <v>2</v>
      </c>
      <c r="L83">
        <v>1266</v>
      </c>
      <c r="M83">
        <v>2320</v>
      </c>
      <c r="N83">
        <v>2108</v>
      </c>
      <c r="O83">
        <v>2532</v>
      </c>
      <c r="P83">
        <v>4640</v>
      </c>
    </row>
    <row r="84" spans="1:16" x14ac:dyDescent="0.3">
      <c r="A84">
        <v>261715</v>
      </c>
      <c r="B84" s="1">
        <v>44538</v>
      </c>
      <c r="C84">
        <v>39</v>
      </c>
      <c r="D84" t="s">
        <v>49</v>
      </c>
      <c r="E84" t="s">
        <v>16</v>
      </c>
      <c r="F84" t="s">
        <v>55</v>
      </c>
      <c r="G84" t="s">
        <v>195</v>
      </c>
      <c r="H84" t="s">
        <v>19</v>
      </c>
      <c r="I84" t="s">
        <v>66</v>
      </c>
      <c r="K84" s="2">
        <v>2</v>
      </c>
      <c r="L84">
        <v>1252</v>
      </c>
      <c r="M84">
        <v>2295</v>
      </c>
      <c r="N84">
        <v>2086</v>
      </c>
      <c r="O84">
        <v>2504</v>
      </c>
      <c r="P84">
        <v>4590</v>
      </c>
    </row>
    <row r="85" spans="1:16" x14ac:dyDescent="0.3">
      <c r="A85">
        <v>261697</v>
      </c>
      <c r="B85" t="e">
        <v>#NAME?</v>
      </c>
      <c r="C85">
        <v>37</v>
      </c>
      <c r="D85" t="s">
        <v>49</v>
      </c>
      <c r="E85" t="s">
        <v>31</v>
      </c>
      <c r="F85" t="s">
        <v>196</v>
      </c>
      <c r="G85" t="s">
        <v>39</v>
      </c>
      <c r="H85" t="s">
        <v>19</v>
      </c>
      <c r="I85" t="s">
        <v>101</v>
      </c>
      <c r="J85" t="s">
        <v>188</v>
      </c>
      <c r="K85" s="2">
        <v>2</v>
      </c>
      <c r="L85">
        <v>420</v>
      </c>
      <c r="M85">
        <v>769</v>
      </c>
      <c r="N85">
        <v>698</v>
      </c>
      <c r="O85">
        <v>840</v>
      </c>
      <c r="P85">
        <v>1538</v>
      </c>
    </row>
    <row r="86" spans="1:16" x14ac:dyDescent="0.3">
      <c r="A86">
        <v>261717</v>
      </c>
      <c r="B86" s="1">
        <v>44539</v>
      </c>
      <c r="C86">
        <v>33</v>
      </c>
      <c r="E86" t="s">
        <v>16</v>
      </c>
      <c r="F86" t="s">
        <v>133</v>
      </c>
      <c r="G86" t="s">
        <v>197</v>
      </c>
      <c r="H86" t="s">
        <v>19</v>
      </c>
      <c r="I86" t="s">
        <v>97</v>
      </c>
      <c r="J86" t="s">
        <v>30</v>
      </c>
      <c r="K86" s="2">
        <v>2</v>
      </c>
      <c r="L86">
        <v>1898</v>
      </c>
      <c r="M86">
        <v>3375</v>
      </c>
      <c r="N86">
        <v>2954</v>
      </c>
      <c r="O86">
        <v>3796</v>
      </c>
      <c r="P86">
        <v>6750</v>
      </c>
    </row>
    <row r="87" spans="1:16" ht="37.799999999999997" customHeight="1" x14ac:dyDescent="0.3">
      <c r="A87">
        <v>261781</v>
      </c>
      <c r="B87" s="1">
        <v>44553</v>
      </c>
      <c r="C87">
        <v>35</v>
      </c>
      <c r="D87" t="s">
        <v>37</v>
      </c>
      <c r="E87" t="s">
        <v>16</v>
      </c>
      <c r="F87" t="s">
        <v>73</v>
      </c>
      <c r="G87" t="s">
        <v>180</v>
      </c>
      <c r="H87" t="s">
        <v>34</v>
      </c>
      <c r="I87" t="s">
        <v>20</v>
      </c>
      <c r="J87" t="s">
        <v>198</v>
      </c>
      <c r="K87" s="2">
        <v>1</v>
      </c>
      <c r="L87" s="2">
        <v>295</v>
      </c>
      <c r="M87">
        <v>540</v>
      </c>
      <c r="N87">
        <v>245</v>
      </c>
      <c r="O87">
        <v>295</v>
      </c>
      <c r="P87">
        <v>540</v>
      </c>
    </row>
    <row r="88" spans="1:16" x14ac:dyDescent="0.3">
      <c r="A88">
        <v>261768</v>
      </c>
      <c r="B88" s="1">
        <v>44550</v>
      </c>
      <c r="C88">
        <v>29</v>
      </c>
      <c r="E88" t="s">
        <v>31</v>
      </c>
      <c r="F88" t="s">
        <v>199</v>
      </c>
      <c r="G88" t="s">
        <v>200</v>
      </c>
      <c r="H88" t="s">
        <v>40</v>
      </c>
      <c r="I88" t="s">
        <v>66</v>
      </c>
      <c r="J88" t="s">
        <v>201</v>
      </c>
      <c r="K88" s="2">
        <v>3</v>
      </c>
      <c r="L88">
        <v>295</v>
      </c>
      <c r="M88">
        <v>540</v>
      </c>
      <c r="N88">
        <v>735</v>
      </c>
      <c r="O88">
        <v>885</v>
      </c>
      <c r="P88">
        <v>1620</v>
      </c>
    </row>
    <row r="89" spans="1:16" x14ac:dyDescent="0.3">
      <c r="A89">
        <v>261780</v>
      </c>
      <c r="B89" s="1">
        <v>44553</v>
      </c>
      <c r="C89">
        <v>31</v>
      </c>
      <c r="D89" t="s">
        <v>68</v>
      </c>
      <c r="E89" t="s">
        <v>16</v>
      </c>
      <c r="F89" t="s">
        <v>202</v>
      </c>
      <c r="G89" t="s">
        <v>203</v>
      </c>
      <c r="H89" t="s">
        <v>19</v>
      </c>
      <c r="I89" t="s">
        <v>194</v>
      </c>
      <c r="J89" t="s">
        <v>183</v>
      </c>
      <c r="K89" s="2">
        <v>1</v>
      </c>
      <c r="L89">
        <v>1252</v>
      </c>
      <c r="M89">
        <v>2295</v>
      </c>
      <c r="N89">
        <v>1043</v>
      </c>
      <c r="O89">
        <v>1252</v>
      </c>
      <c r="P89">
        <v>2295</v>
      </c>
    </row>
    <row r="90" spans="1:16" x14ac:dyDescent="0.3">
      <c r="A90">
        <v>261776</v>
      </c>
      <c r="B90" s="1">
        <v>44552</v>
      </c>
      <c r="C90">
        <v>25</v>
      </c>
      <c r="D90" t="s">
        <v>54</v>
      </c>
      <c r="E90" t="s">
        <v>31</v>
      </c>
      <c r="F90" t="s">
        <v>109</v>
      </c>
      <c r="G90" t="s">
        <v>204</v>
      </c>
      <c r="H90" t="s">
        <v>19</v>
      </c>
      <c r="I90" t="s">
        <v>20</v>
      </c>
      <c r="J90" t="s">
        <v>167</v>
      </c>
      <c r="K90" s="2">
        <v>1</v>
      </c>
      <c r="L90">
        <v>1252</v>
      </c>
      <c r="M90">
        <v>2295</v>
      </c>
      <c r="N90">
        <v>1043</v>
      </c>
      <c r="O90">
        <v>1252</v>
      </c>
      <c r="P90">
        <v>2295</v>
      </c>
    </row>
    <row r="91" spans="1:16" x14ac:dyDescent="0.3">
      <c r="A91">
        <v>261714</v>
      </c>
      <c r="B91" s="1">
        <v>44538</v>
      </c>
      <c r="C91">
        <v>30</v>
      </c>
      <c r="D91" t="s">
        <v>68</v>
      </c>
      <c r="E91" t="s">
        <v>16</v>
      </c>
      <c r="F91" t="s">
        <v>205</v>
      </c>
      <c r="G91" t="s">
        <v>206</v>
      </c>
      <c r="H91" t="s">
        <v>40</v>
      </c>
      <c r="I91" t="s">
        <v>35</v>
      </c>
      <c r="J91" t="s">
        <v>126</v>
      </c>
      <c r="K91" s="2">
        <v>4</v>
      </c>
      <c r="L91">
        <v>1266</v>
      </c>
      <c r="M91">
        <v>2320</v>
      </c>
      <c r="N91">
        <v>4216</v>
      </c>
      <c r="O91">
        <v>5064</v>
      </c>
      <c r="P91">
        <v>9280</v>
      </c>
    </row>
    <row r="92" spans="1:16" x14ac:dyDescent="0.3">
      <c r="A92">
        <v>261754</v>
      </c>
      <c r="B92" t="s">
        <v>207</v>
      </c>
      <c r="C92">
        <v>26</v>
      </c>
      <c r="D92" t="s">
        <v>54</v>
      </c>
      <c r="E92" t="s">
        <v>31</v>
      </c>
      <c r="F92" t="s">
        <v>208</v>
      </c>
      <c r="G92" t="s">
        <v>209</v>
      </c>
      <c r="H92" t="s">
        <v>34</v>
      </c>
      <c r="I92" t="s">
        <v>43</v>
      </c>
      <c r="J92" t="s">
        <v>21</v>
      </c>
      <c r="K92" s="2">
        <v>1</v>
      </c>
      <c r="L92">
        <v>1252</v>
      </c>
      <c r="M92">
        <v>2295</v>
      </c>
      <c r="N92">
        <v>1043</v>
      </c>
      <c r="O92">
        <v>1252</v>
      </c>
      <c r="P92">
        <v>2295</v>
      </c>
    </row>
    <row r="93" spans="1:16" ht="49.2" customHeight="1" x14ac:dyDescent="0.3">
      <c r="A93">
        <v>261765</v>
      </c>
      <c r="B93" s="1">
        <v>44549</v>
      </c>
      <c r="C93">
        <v>39</v>
      </c>
      <c r="D93" s="2" t="s">
        <v>37</v>
      </c>
      <c r="E93" t="s">
        <v>16</v>
      </c>
      <c r="F93" t="s">
        <v>55</v>
      </c>
      <c r="G93" t="s">
        <v>129</v>
      </c>
      <c r="H93" t="s">
        <v>34</v>
      </c>
      <c r="I93" s="2" t="s">
        <v>41</v>
      </c>
      <c r="J93" t="s">
        <v>58</v>
      </c>
      <c r="K93" s="2">
        <v>1</v>
      </c>
      <c r="L93">
        <v>1266</v>
      </c>
      <c r="M93">
        <v>2320</v>
      </c>
      <c r="N93">
        <v>1054</v>
      </c>
      <c r="O93">
        <v>1266</v>
      </c>
      <c r="P93">
        <v>2320</v>
      </c>
    </row>
    <row r="94" spans="1:16" x14ac:dyDescent="0.3">
      <c r="A94">
        <v>261708</v>
      </c>
      <c r="B94" t="s">
        <v>210</v>
      </c>
      <c r="C94">
        <v>27</v>
      </c>
      <c r="E94" t="s">
        <v>31</v>
      </c>
      <c r="F94" t="s">
        <v>211</v>
      </c>
      <c r="G94" t="s">
        <v>96</v>
      </c>
      <c r="H94" t="s">
        <v>34</v>
      </c>
      <c r="I94" t="s">
        <v>41</v>
      </c>
      <c r="J94" t="s">
        <v>75</v>
      </c>
      <c r="K94" s="2">
        <v>1</v>
      </c>
      <c r="L94">
        <v>1252</v>
      </c>
      <c r="M94">
        <v>2295</v>
      </c>
      <c r="N94">
        <v>1043</v>
      </c>
      <c r="O94">
        <v>1252</v>
      </c>
      <c r="P94">
        <v>2295</v>
      </c>
    </row>
    <row r="95" spans="1:16" x14ac:dyDescent="0.3">
      <c r="A95">
        <v>261750</v>
      </c>
      <c r="B95" s="1">
        <v>44548</v>
      </c>
      <c r="C95">
        <v>38</v>
      </c>
      <c r="D95" t="s">
        <v>22</v>
      </c>
      <c r="E95" t="s">
        <v>16</v>
      </c>
      <c r="F95" t="s">
        <v>162</v>
      </c>
      <c r="G95" t="s">
        <v>51</v>
      </c>
      <c r="H95" t="s">
        <v>40</v>
      </c>
      <c r="I95" t="s">
        <v>20</v>
      </c>
      <c r="J95" t="s">
        <v>163</v>
      </c>
      <c r="K95" s="2">
        <v>4</v>
      </c>
      <c r="L95">
        <v>1266</v>
      </c>
      <c r="M95">
        <v>2320</v>
      </c>
      <c r="N95">
        <v>4216</v>
      </c>
      <c r="O95">
        <v>5064</v>
      </c>
      <c r="P95">
        <v>9280</v>
      </c>
    </row>
    <row r="96" spans="1:16" x14ac:dyDescent="0.3">
      <c r="A96">
        <v>261745</v>
      </c>
      <c r="B96" s="1">
        <v>44546</v>
      </c>
      <c r="C96">
        <v>27</v>
      </c>
      <c r="D96" t="s">
        <v>68</v>
      </c>
      <c r="E96" t="s">
        <v>16</v>
      </c>
      <c r="F96" t="s">
        <v>156</v>
      </c>
      <c r="G96" t="s">
        <v>212</v>
      </c>
      <c r="H96" t="s">
        <v>40</v>
      </c>
      <c r="I96" t="s">
        <v>41</v>
      </c>
      <c r="J96" t="s">
        <v>158</v>
      </c>
      <c r="K96" s="2">
        <v>1</v>
      </c>
      <c r="L96">
        <v>1266</v>
      </c>
      <c r="M96">
        <v>2320</v>
      </c>
      <c r="N96">
        <v>1054</v>
      </c>
      <c r="O96">
        <v>1266</v>
      </c>
      <c r="P96">
        <v>2320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2357-F0C7-4836-BD62-FE8888D9A481}">
  <dimension ref="A1:P79"/>
  <sheetViews>
    <sheetView tabSelected="1" zoomScale="65" zoomScaleNormal="89" workbookViewId="0">
      <pane ySplit="1" topLeftCell="A2" activePane="bottomLeft" state="frozen"/>
      <selection pane="bottomLeft" activeCell="F18" sqref="F18"/>
    </sheetView>
  </sheetViews>
  <sheetFormatPr defaultRowHeight="14.4" x14ac:dyDescent="0.3"/>
  <cols>
    <col min="1" max="1" width="16.44140625" bestFit="1" customWidth="1"/>
    <col min="2" max="2" width="19.44140625" bestFit="1" customWidth="1"/>
    <col min="3" max="3" width="17.6640625" bestFit="1" customWidth="1"/>
    <col min="4" max="4" width="20.5546875" bestFit="1" customWidth="1"/>
    <col min="5" max="5" width="21" bestFit="1" customWidth="1"/>
    <col min="6" max="6" width="16.33203125" bestFit="1" customWidth="1"/>
    <col min="7" max="7" width="22.109375" bestFit="1" customWidth="1"/>
    <col min="8" max="8" width="21.5546875" bestFit="1" customWidth="1"/>
    <col min="9" max="9" width="16.109375" bestFit="1" customWidth="1"/>
    <col min="10" max="10" width="25.77734375" bestFit="1" customWidth="1"/>
    <col min="11" max="11" width="18.77734375" style="4" bestFit="1" customWidth="1"/>
    <col min="12" max="12" width="12.109375" style="13" bestFit="1" customWidth="1"/>
    <col min="13" max="13" width="12.6640625" style="16" bestFit="1" customWidth="1"/>
    <col min="14" max="15" width="10.44140625" style="10" bestFit="1" customWidth="1"/>
    <col min="16" max="16" width="11.109375" style="10" bestFit="1" customWidth="1"/>
  </cols>
  <sheetData>
    <row r="1" spans="1:16" ht="1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224</v>
      </c>
      <c r="H1" s="7" t="s">
        <v>7</v>
      </c>
      <c r="I1" s="7" t="s">
        <v>8</v>
      </c>
      <c r="J1" s="7" t="s">
        <v>9</v>
      </c>
      <c r="K1" s="7" t="s">
        <v>10</v>
      </c>
      <c r="L1" s="11" t="s">
        <v>11</v>
      </c>
      <c r="M1" s="14" t="s">
        <v>12</v>
      </c>
      <c r="N1" s="8" t="s">
        <v>13</v>
      </c>
      <c r="O1" s="8" t="s">
        <v>14</v>
      </c>
      <c r="P1" s="8" t="s">
        <v>15</v>
      </c>
    </row>
    <row r="2" spans="1:16" x14ac:dyDescent="0.3">
      <c r="A2" s="5">
        <v>261695</v>
      </c>
      <c r="B2" s="6">
        <v>44531</v>
      </c>
      <c r="C2" s="5">
        <v>39</v>
      </c>
      <c r="D2" s="5" t="s">
        <v>49</v>
      </c>
      <c r="E2" s="5" t="s">
        <v>16</v>
      </c>
      <c r="F2" s="5" t="s">
        <v>55</v>
      </c>
      <c r="G2" s="5" t="s">
        <v>215</v>
      </c>
      <c r="H2" s="5" t="s">
        <v>34</v>
      </c>
      <c r="I2" s="5" t="s">
        <v>35</v>
      </c>
      <c r="J2" s="5" t="s">
        <v>21</v>
      </c>
      <c r="K2" s="5">
        <v>4</v>
      </c>
      <c r="L2" s="12">
        <v>1252</v>
      </c>
      <c r="M2" s="15">
        <v>2295</v>
      </c>
      <c r="N2" s="9">
        <v>4172</v>
      </c>
      <c r="O2" s="9">
        <v>5008</v>
      </c>
      <c r="P2" s="9">
        <v>9180</v>
      </c>
    </row>
    <row r="3" spans="1:16" x14ac:dyDescent="0.3">
      <c r="A3" s="5">
        <v>261696</v>
      </c>
      <c r="B3" s="6">
        <v>44531</v>
      </c>
      <c r="C3" s="5">
        <v>44</v>
      </c>
      <c r="D3" s="5" t="s">
        <v>49</v>
      </c>
      <c r="E3" s="5" t="s">
        <v>31</v>
      </c>
      <c r="F3" s="5" t="s">
        <v>213</v>
      </c>
      <c r="G3" s="5" t="s">
        <v>218</v>
      </c>
      <c r="H3" s="5" t="s">
        <v>34</v>
      </c>
      <c r="I3" s="5" t="s">
        <v>35</v>
      </c>
      <c r="J3" s="5" t="s">
        <v>46</v>
      </c>
      <c r="K3" s="5">
        <v>1</v>
      </c>
      <c r="L3" s="12">
        <v>1266</v>
      </c>
      <c r="M3" s="15">
        <v>2320</v>
      </c>
      <c r="N3" s="9">
        <v>1054</v>
      </c>
      <c r="O3" s="9">
        <v>1266</v>
      </c>
      <c r="P3" s="9">
        <v>2320</v>
      </c>
    </row>
    <row r="4" spans="1:16" x14ac:dyDescent="0.3">
      <c r="A4" s="5">
        <v>261697</v>
      </c>
      <c r="B4" s="6">
        <v>44532</v>
      </c>
      <c r="C4" s="5">
        <v>37</v>
      </c>
      <c r="D4" s="5" t="s">
        <v>49</v>
      </c>
      <c r="E4" s="5" t="s">
        <v>31</v>
      </c>
      <c r="F4" s="5" t="s">
        <v>55</v>
      </c>
      <c r="G4" s="5" t="s">
        <v>215</v>
      </c>
      <c r="H4" s="5" t="s">
        <v>34</v>
      </c>
      <c r="I4" s="5" t="s">
        <v>35</v>
      </c>
      <c r="J4" s="5" t="s">
        <v>72</v>
      </c>
      <c r="K4" s="5">
        <v>2</v>
      </c>
      <c r="L4" s="12">
        <v>420</v>
      </c>
      <c r="M4" s="15">
        <v>769</v>
      </c>
      <c r="N4" s="9">
        <v>698</v>
      </c>
      <c r="O4" s="9">
        <v>840</v>
      </c>
      <c r="P4" s="9">
        <v>1538</v>
      </c>
    </row>
    <row r="5" spans="1:16" x14ac:dyDescent="0.3">
      <c r="A5" s="5">
        <v>261698</v>
      </c>
      <c r="B5" s="6">
        <v>44533</v>
      </c>
      <c r="C5" s="5">
        <v>31</v>
      </c>
      <c r="D5" s="5" t="s">
        <v>68</v>
      </c>
      <c r="E5" s="5" t="s">
        <v>16</v>
      </c>
      <c r="F5" s="5" t="s">
        <v>99</v>
      </c>
      <c r="G5" s="5" t="s">
        <v>150</v>
      </c>
      <c r="H5" s="5" t="s">
        <v>34</v>
      </c>
      <c r="I5" s="5" t="s">
        <v>35</v>
      </c>
      <c r="J5" s="5" t="s">
        <v>179</v>
      </c>
      <c r="K5" s="5">
        <v>1</v>
      </c>
      <c r="L5" s="12">
        <v>420</v>
      </c>
      <c r="M5" s="15">
        <v>769</v>
      </c>
      <c r="N5" s="9">
        <v>349</v>
      </c>
      <c r="O5" s="9">
        <v>420</v>
      </c>
      <c r="P5" s="9">
        <v>769</v>
      </c>
    </row>
    <row r="6" spans="1:16" x14ac:dyDescent="0.3">
      <c r="A6" s="5">
        <v>261699</v>
      </c>
      <c r="B6" s="6">
        <v>44533</v>
      </c>
      <c r="C6" s="5">
        <v>37</v>
      </c>
      <c r="D6" s="5" t="s">
        <v>49</v>
      </c>
      <c r="E6" s="5" t="s">
        <v>16</v>
      </c>
      <c r="F6" s="5" t="s">
        <v>55</v>
      </c>
      <c r="G6" s="5" t="s">
        <v>215</v>
      </c>
      <c r="H6" s="5" t="s">
        <v>34</v>
      </c>
      <c r="I6" s="5" t="s">
        <v>35</v>
      </c>
      <c r="J6" s="5" t="s">
        <v>21</v>
      </c>
      <c r="K6" s="5">
        <v>0</v>
      </c>
      <c r="L6" s="12">
        <v>0</v>
      </c>
      <c r="M6" s="15">
        <v>2295</v>
      </c>
      <c r="N6" s="9">
        <v>2086</v>
      </c>
      <c r="O6" s="9">
        <v>0</v>
      </c>
      <c r="P6" s="9">
        <v>4590</v>
      </c>
    </row>
    <row r="7" spans="1:16" x14ac:dyDescent="0.3">
      <c r="A7" s="5">
        <v>261700</v>
      </c>
      <c r="B7" s="6">
        <v>44534</v>
      </c>
      <c r="C7" s="5">
        <v>24</v>
      </c>
      <c r="D7" s="5" t="s">
        <v>108</v>
      </c>
      <c r="E7" s="5" t="s">
        <v>16</v>
      </c>
      <c r="F7" s="5" t="s">
        <v>213</v>
      </c>
      <c r="G7" s="5" t="s">
        <v>218</v>
      </c>
      <c r="H7" s="5" t="s">
        <v>34</v>
      </c>
      <c r="I7" s="5" t="s">
        <v>35</v>
      </c>
      <c r="J7" s="5" t="s">
        <v>53</v>
      </c>
      <c r="K7" s="5">
        <v>1</v>
      </c>
      <c r="L7" s="12">
        <v>1252</v>
      </c>
      <c r="M7" s="15">
        <v>2295</v>
      </c>
      <c r="N7" s="9">
        <v>1043</v>
      </c>
      <c r="O7" s="9">
        <v>1252</v>
      </c>
      <c r="P7" s="9">
        <v>2295</v>
      </c>
    </row>
    <row r="8" spans="1:16" x14ac:dyDescent="0.3">
      <c r="A8" s="5">
        <v>261701</v>
      </c>
      <c r="B8" s="6">
        <v>44535</v>
      </c>
      <c r="C8" s="5">
        <v>37</v>
      </c>
      <c r="D8" s="5" t="s">
        <v>49</v>
      </c>
      <c r="E8" s="5" t="s">
        <v>31</v>
      </c>
      <c r="F8" s="5" t="s">
        <v>55</v>
      </c>
      <c r="G8" s="5" t="s">
        <v>91</v>
      </c>
      <c r="H8" s="5" t="s">
        <v>34</v>
      </c>
      <c r="I8" s="5" t="s">
        <v>35</v>
      </c>
      <c r="J8" s="5" t="s">
        <v>21</v>
      </c>
      <c r="K8" s="5">
        <v>1</v>
      </c>
      <c r="L8" s="12">
        <v>1252</v>
      </c>
      <c r="M8" s="15">
        <v>2295</v>
      </c>
      <c r="N8" s="9">
        <v>1043</v>
      </c>
      <c r="O8" s="9">
        <v>1252</v>
      </c>
      <c r="P8" s="9">
        <v>2295</v>
      </c>
    </row>
    <row r="9" spans="1:16" x14ac:dyDescent="0.3">
      <c r="A9" s="5">
        <v>261702</v>
      </c>
      <c r="B9" s="6">
        <v>44535</v>
      </c>
      <c r="C9" s="5">
        <v>31</v>
      </c>
      <c r="D9" s="5" t="s">
        <v>68</v>
      </c>
      <c r="E9" s="5" t="s">
        <v>16</v>
      </c>
      <c r="F9" s="5" t="s">
        <v>99</v>
      </c>
      <c r="G9" s="5" t="s">
        <v>150</v>
      </c>
      <c r="H9" s="5" t="s">
        <v>34</v>
      </c>
      <c r="I9" s="5" t="s">
        <v>35</v>
      </c>
      <c r="J9" s="5" t="s">
        <v>179</v>
      </c>
      <c r="K9" s="5">
        <v>4</v>
      </c>
      <c r="L9" s="12">
        <v>420</v>
      </c>
      <c r="M9" s="15">
        <v>0</v>
      </c>
      <c r="N9" s="9">
        <v>1396</v>
      </c>
      <c r="O9" s="9">
        <v>1680</v>
      </c>
      <c r="P9" s="9">
        <v>0</v>
      </c>
    </row>
    <row r="10" spans="1:16" x14ac:dyDescent="0.3">
      <c r="A10" s="5">
        <v>261703</v>
      </c>
      <c r="B10" s="6">
        <v>44535</v>
      </c>
      <c r="C10" s="5">
        <v>39</v>
      </c>
      <c r="D10" s="5" t="s">
        <v>49</v>
      </c>
      <c r="E10" s="5" t="s">
        <v>16</v>
      </c>
      <c r="F10" s="5" t="s">
        <v>55</v>
      </c>
      <c r="G10" s="5" t="s">
        <v>215</v>
      </c>
      <c r="H10" s="5" t="s">
        <v>34</v>
      </c>
      <c r="I10" s="5" t="s">
        <v>35</v>
      </c>
      <c r="J10" s="5" t="s">
        <v>21</v>
      </c>
      <c r="K10" s="5">
        <v>4</v>
      </c>
      <c r="L10" s="12">
        <v>1252</v>
      </c>
      <c r="M10" s="15">
        <v>2295</v>
      </c>
      <c r="N10" s="9">
        <v>4172</v>
      </c>
      <c r="O10" s="9">
        <v>5008</v>
      </c>
      <c r="P10" s="9">
        <v>9180</v>
      </c>
    </row>
    <row r="11" spans="1:16" x14ac:dyDescent="0.3">
      <c r="A11" s="5">
        <v>261704</v>
      </c>
      <c r="B11" s="6">
        <v>44536</v>
      </c>
      <c r="C11" s="5">
        <v>42</v>
      </c>
      <c r="D11" s="5" t="s">
        <v>49</v>
      </c>
      <c r="E11" s="5" t="s">
        <v>31</v>
      </c>
      <c r="F11" s="5" t="s">
        <v>122</v>
      </c>
      <c r="G11" s="5" t="s">
        <v>233</v>
      </c>
      <c r="H11" s="5" t="s">
        <v>34</v>
      </c>
      <c r="I11" s="5" t="s">
        <v>35</v>
      </c>
      <c r="J11" s="5" t="s">
        <v>53</v>
      </c>
      <c r="K11" s="5">
        <v>4</v>
      </c>
      <c r="L11" s="12">
        <v>1252</v>
      </c>
      <c r="M11" s="15">
        <v>2295</v>
      </c>
      <c r="N11" s="9">
        <v>4172</v>
      </c>
      <c r="O11" s="9">
        <v>5008</v>
      </c>
      <c r="P11" s="9">
        <v>9180</v>
      </c>
    </row>
    <row r="12" spans="1:16" x14ac:dyDescent="0.3">
      <c r="A12" s="5">
        <v>261705</v>
      </c>
      <c r="B12" s="6">
        <v>44536</v>
      </c>
      <c r="C12" s="5">
        <v>35</v>
      </c>
      <c r="D12" s="5" t="s">
        <v>49</v>
      </c>
      <c r="E12" s="5" t="s">
        <v>16</v>
      </c>
      <c r="F12" s="5" t="s">
        <v>99</v>
      </c>
      <c r="G12" s="5" t="s">
        <v>18</v>
      </c>
      <c r="H12" s="5" t="s">
        <v>34</v>
      </c>
      <c r="I12" s="5" t="s">
        <v>35</v>
      </c>
      <c r="J12" s="5" t="s">
        <v>227</v>
      </c>
      <c r="K12" s="5">
        <v>1</v>
      </c>
      <c r="L12" s="12">
        <v>1266</v>
      </c>
      <c r="M12" s="15">
        <v>2320</v>
      </c>
      <c r="N12" s="9">
        <v>1054</v>
      </c>
      <c r="O12" s="9">
        <v>1266</v>
      </c>
      <c r="P12" s="9">
        <v>2320</v>
      </c>
    </row>
    <row r="13" spans="1:16" x14ac:dyDescent="0.3">
      <c r="A13" s="5">
        <v>261706</v>
      </c>
      <c r="B13" s="6">
        <v>44536</v>
      </c>
      <c r="C13" s="5">
        <v>0</v>
      </c>
      <c r="D13" s="5" t="s">
        <v>49</v>
      </c>
      <c r="E13" s="5" t="s">
        <v>16</v>
      </c>
      <c r="F13" s="5" t="s">
        <v>55</v>
      </c>
      <c r="G13" s="5" t="s">
        <v>215</v>
      </c>
      <c r="H13" s="5" t="s">
        <v>34</v>
      </c>
      <c r="I13" s="5" t="s">
        <v>35</v>
      </c>
      <c r="J13" s="5" t="s">
        <v>21</v>
      </c>
      <c r="K13" s="5">
        <v>1</v>
      </c>
      <c r="L13" s="12">
        <v>1252</v>
      </c>
      <c r="M13" s="15">
        <v>2295</v>
      </c>
      <c r="N13" s="9">
        <v>1043</v>
      </c>
      <c r="O13" s="9">
        <v>1252</v>
      </c>
      <c r="P13" s="9">
        <v>2295</v>
      </c>
    </row>
    <row r="14" spans="1:16" x14ac:dyDescent="0.3">
      <c r="A14" s="5">
        <v>261707</v>
      </c>
      <c r="B14" s="6">
        <v>44537</v>
      </c>
      <c r="C14" s="5">
        <v>23</v>
      </c>
      <c r="D14" s="5" t="s">
        <v>108</v>
      </c>
      <c r="E14" s="5" t="s">
        <v>31</v>
      </c>
      <c r="F14" s="5" t="s">
        <v>213</v>
      </c>
      <c r="G14" s="5" t="s">
        <v>218</v>
      </c>
      <c r="H14" s="5" t="s">
        <v>34</v>
      </c>
      <c r="I14" s="5" t="s">
        <v>35</v>
      </c>
      <c r="J14" s="5" t="s">
        <v>72</v>
      </c>
      <c r="K14" s="5">
        <v>3</v>
      </c>
      <c r="L14" s="12">
        <v>420</v>
      </c>
      <c r="M14" s="15">
        <v>769</v>
      </c>
      <c r="N14" s="9">
        <v>1047</v>
      </c>
      <c r="O14" s="9">
        <v>1260</v>
      </c>
      <c r="P14" s="9">
        <v>2307</v>
      </c>
    </row>
    <row r="15" spans="1:16" x14ac:dyDescent="0.3">
      <c r="A15" s="5">
        <v>261708</v>
      </c>
      <c r="B15" s="6">
        <v>44538</v>
      </c>
      <c r="C15" s="5">
        <v>27</v>
      </c>
      <c r="D15" s="5" t="s">
        <v>108</v>
      </c>
      <c r="E15" s="5" t="s">
        <v>31</v>
      </c>
      <c r="F15" s="5" t="s">
        <v>214</v>
      </c>
      <c r="G15" s="5" t="s">
        <v>217</v>
      </c>
      <c r="H15" s="5" t="s">
        <v>34</v>
      </c>
      <c r="I15" s="5" t="s">
        <v>35</v>
      </c>
      <c r="J15" s="5" t="s">
        <v>21</v>
      </c>
      <c r="K15" s="5">
        <v>1</v>
      </c>
      <c r="L15" s="12">
        <v>1252</v>
      </c>
      <c r="M15" s="15">
        <v>2295</v>
      </c>
      <c r="N15" s="9">
        <v>1043</v>
      </c>
      <c r="O15" s="9">
        <v>1252</v>
      </c>
      <c r="P15" s="9">
        <v>2295</v>
      </c>
    </row>
    <row r="16" spans="1:16" x14ac:dyDescent="0.3">
      <c r="A16" s="5">
        <v>261709</v>
      </c>
      <c r="B16" s="6">
        <v>44538</v>
      </c>
      <c r="C16" s="5">
        <v>36</v>
      </c>
      <c r="D16" s="5" t="s">
        <v>49</v>
      </c>
      <c r="E16" s="5" t="s">
        <v>31</v>
      </c>
      <c r="F16" s="5" t="s">
        <v>99</v>
      </c>
      <c r="G16" s="5" t="s">
        <v>150</v>
      </c>
      <c r="H16" s="5" t="s">
        <v>34</v>
      </c>
      <c r="I16" s="5" t="s">
        <v>35</v>
      </c>
      <c r="J16" s="5" t="s">
        <v>225</v>
      </c>
      <c r="K16" s="5">
        <v>1</v>
      </c>
      <c r="L16" s="12">
        <v>1252</v>
      </c>
      <c r="M16" s="15">
        <v>2295</v>
      </c>
      <c r="N16" s="9">
        <v>1043</v>
      </c>
      <c r="O16" s="9">
        <v>1252</v>
      </c>
      <c r="P16" s="9">
        <v>2295</v>
      </c>
    </row>
    <row r="17" spans="1:16" x14ac:dyDescent="0.3">
      <c r="A17" s="5">
        <v>261710</v>
      </c>
      <c r="B17" s="6">
        <v>44538</v>
      </c>
      <c r="C17" s="5">
        <v>47</v>
      </c>
      <c r="D17" s="5" t="s">
        <v>49</v>
      </c>
      <c r="E17" s="5" t="s">
        <v>31</v>
      </c>
      <c r="F17" s="5" t="s">
        <v>213</v>
      </c>
      <c r="G17" s="5" t="s">
        <v>218</v>
      </c>
      <c r="H17" s="5" t="s">
        <v>34</v>
      </c>
      <c r="I17" s="5" t="s">
        <v>35</v>
      </c>
      <c r="J17" s="5" t="s">
        <v>227</v>
      </c>
      <c r="K17" s="5">
        <v>1</v>
      </c>
      <c r="L17" s="12">
        <v>1266</v>
      </c>
      <c r="M17" s="15">
        <v>2320</v>
      </c>
      <c r="N17" s="9">
        <v>1054</v>
      </c>
      <c r="O17" s="9">
        <v>1266</v>
      </c>
      <c r="P17" s="9">
        <v>2320</v>
      </c>
    </row>
    <row r="18" spans="1:16" x14ac:dyDescent="0.3">
      <c r="A18" s="5">
        <v>261711</v>
      </c>
      <c r="B18" s="6">
        <v>44539</v>
      </c>
      <c r="C18" s="5">
        <v>30</v>
      </c>
      <c r="D18" s="5" t="s">
        <v>238</v>
      </c>
      <c r="E18" s="5" t="s">
        <v>31</v>
      </c>
      <c r="F18" s="5" t="s">
        <v>55</v>
      </c>
      <c r="G18" s="5" t="s">
        <v>215</v>
      </c>
      <c r="H18" s="5" t="s">
        <v>34</v>
      </c>
      <c r="I18" s="5" t="s">
        <v>35</v>
      </c>
      <c r="J18" s="5" t="s">
        <v>149</v>
      </c>
      <c r="K18" s="5">
        <v>4</v>
      </c>
      <c r="L18" s="12">
        <v>420</v>
      </c>
      <c r="M18" s="15">
        <v>769</v>
      </c>
      <c r="N18" s="9">
        <v>1396</v>
      </c>
      <c r="O18" s="9">
        <v>1680</v>
      </c>
      <c r="P18" s="9">
        <v>3076</v>
      </c>
    </row>
    <row r="19" spans="1:16" x14ac:dyDescent="0.3">
      <c r="A19" s="5">
        <v>261712</v>
      </c>
      <c r="B19" s="6">
        <v>44539</v>
      </c>
      <c r="C19" s="5">
        <v>38</v>
      </c>
      <c r="D19" s="5" t="s">
        <v>49</v>
      </c>
      <c r="E19" s="5" t="s">
        <v>31</v>
      </c>
      <c r="F19" s="5" t="s">
        <v>55</v>
      </c>
      <c r="G19" s="5" t="s">
        <v>215</v>
      </c>
      <c r="H19" s="5" t="s">
        <v>34</v>
      </c>
      <c r="I19" s="5" t="s">
        <v>35</v>
      </c>
      <c r="J19" s="5" t="s">
        <v>46</v>
      </c>
      <c r="K19" s="5">
        <v>2</v>
      </c>
      <c r="L19" s="12">
        <v>1266</v>
      </c>
      <c r="M19" s="15">
        <v>2320</v>
      </c>
      <c r="N19" s="9">
        <v>2108</v>
      </c>
      <c r="O19" s="9">
        <v>2532</v>
      </c>
      <c r="P19" s="9">
        <v>4640</v>
      </c>
    </row>
    <row r="20" spans="1:16" x14ac:dyDescent="0.3">
      <c r="A20" s="5">
        <v>261713</v>
      </c>
      <c r="B20" s="6">
        <v>44540</v>
      </c>
      <c r="C20" s="5">
        <v>19</v>
      </c>
      <c r="D20" s="5" t="s">
        <v>108</v>
      </c>
      <c r="E20" s="5" t="s">
        <v>16</v>
      </c>
      <c r="F20" s="5" t="s">
        <v>99</v>
      </c>
      <c r="G20" s="5" t="s">
        <v>150</v>
      </c>
      <c r="H20" s="5" t="s">
        <v>34</v>
      </c>
      <c r="I20" s="5" t="s">
        <v>35</v>
      </c>
      <c r="J20" s="5" t="s">
        <v>63</v>
      </c>
      <c r="K20" s="5">
        <v>4</v>
      </c>
      <c r="L20" s="12">
        <v>308</v>
      </c>
      <c r="M20" s="15">
        <v>565</v>
      </c>
      <c r="N20" s="9">
        <v>1028</v>
      </c>
      <c r="O20" s="9">
        <v>1232</v>
      </c>
      <c r="P20" s="9">
        <v>2260</v>
      </c>
    </row>
    <row r="21" spans="1:16" x14ac:dyDescent="0.3">
      <c r="A21" s="5">
        <v>261714</v>
      </c>
      <c r="B21" s="6">
        <v>44540</v>
      </c>
      <c r="C21" s="5">
        <v>30</v>
      </c>
      <c r="D21" s="5" t="s">
        <v>68</v>
      </c>
      <c r="E21" s="5" t="s">
        <v>16</v>
      </c>
      <c r="F21" s="5" t="s">
        <v>214</v>
      </c>
      <c r="G21" s="5" t="s">
        <v>217</v>
      </c>
      <c r="H21" s="5" t="s">
        <v>34</v>
      </c>
      <c r="I21" s="5" t="s">
        <v>35</v>
      </c>
      <c r="J21" s="5" t="s">
        <v>227</v>
      </c>
      <c r="K21" s="5">
        <v>4</v>
      </c>
      <c r="L21" s="12">
        <v>1266</v>
      </c>
      <c r="M21" s="15">
        <v>2320</v>
      </c>
      <c r="N21" s="9">
        <v>4216</v>
      </c>
      <c r="O21" s="9">
        <v>5064</v>
      </c>
      <c r="P21" s="9">
        <v>9280</v>
      </c>
    </row>
    <row r="22" spans="1:16" x14ac:dyDescent="0.3">
      <c r="A22" s="5">
        <v>261715</v>
      </c>
      <c r="B22" s="6">
        <v>44540</v>
      </c>
      <c r="C22" s="5">
        <v>39</v>
      </c>
      <c r="D22" s="5" t="s">
        <v>49</v>
      </c>
      <c r="E22" s="5" t="s">
        <v>16</v>
      </c>
      <c r="F22" s="5" t="s">
        <v>55</v>
      </c>
      <c r="G22" s="5" t="s">
        <v>221</v>
      </c>
      <c r="H22" s="5" t="s">
        <v>34</v>
      </c>
      <c r="I22" s="5" t="s">
        <v>35</v>
      </c>
      <c r="J22" s="5" t="s">
        <v>238</v>
      </c>
      <c r="K22" s="5">
        <v>2</v>
      </c>
      <c r="L22" s="12">
        <v>1252</v>
      </c>
      <c r="M22" s="15">
        <v>2295</v>
      </c>
      <c r="N22" s="9">
        <v>2086</v>
      </c>
      <c r="O22" s="9">
        <v>2504</v>
      </c>
      <c r="P22" s="9">
        <v>4590</v>
      </c>
    </row>
    <row r="23" spans="1:16" x14ac:dyDescent="0.3">
      <c r="A23" s="5">
        <v>261716</v>
      </c>
      <c r="B23" s="6">
        <v>44540</v>
      </c>
      <c r="C23" s="5">
        <v>35</v>
      </c>
      <c r="D23" s="5" t="s">
        <v>49</v>
      </c>
      <c r="E23" s="5" t="s">
        <v>16</v>
      </c>
      <c r="F23" s="5" t="s">
        <v>55</v>
      </c>
      <c r="G23" s="5" t="s">
        <v>215</v>
      </c>
      <c r="H23" s="5" t="s">
        <v>34</v>
      </c>
      <c r="I23" s="5" t="s">
        <v>35</v>
      </c>
      <c r="J23" s="5" t="s">
        <v>26</v>
      </c>
      <c r="K23" s="5">
        <v>0</v>
      </c>
      <c r="L23" s="12">
        <v>295</v>
      </c>
      <c r="M23" s="15">
        <v>540</v>
      </c>
      <c r="N23" s="9">
        <v>245</v>
      </c>
      <c r="O23" s="17">
        <v>0</v>
      </c>
      <c r="P23" s="9">
        <v>0</v>
      </c>
    </row>
    <row r="24" spans="1:16" x14ac:dyDescent="0.3">
      <c r="A24" s="5">
        <v>261717</v>
      </c>
      <c r="B24" s="6">
        <v>44540</v>
      </c>
      <c r="C24" s="5">
        <v>33</v>
      </c>
      <c r="D24" s="5" t="s">
        <v>49</v>
      </c>
      <c r="E24" s="5" t="s">
        <v>16</v>
      </c>
      <c r="F24" s="5" t="s">
        <v>99</v>
      </c>
      <c r="G24" s="5" t="s">
        <v>127</v>
      </c>
      <c r="H24" s="5" t="s">
        <v>34</v>
      </c>
      <c r="I24" s="5" t="s">
        <v>35</v>
      </c>
      <c r="J24" s="5" t="s">
        <v>30</v>
      </c>
      <c r="K24" s="5">
        <v>2</v>
      </c>
      <c r="L24" s="12">
        <v>1898</v>
      </c>
      <c r="M24" s="15">
        <v>3375</v>
      </c>
      <c r="N24" s="9">
        <v>2954</v>
      </c>
      <c r="O24" s="9">
        <v>3796</v>
      </c>
      <c r="P24" s="9">
        <v>6750</v>
      </c>
    </row>
    <row r="25" spans="1:16" x14ac:dyDescent="0.3">
      <c r="A25" s="5">
        <v>261718</v>
      </c>
      <c r="B25" s="6">
        <v>44541</v>
      </c>
      <c r="C25" s="5">
        <v>41</v>
      </c>
      <c r="D25" s="5" t="s">
        <v>68</v>
      </c>
      <c r="E25" s="5" t="s">
        <v>16</v>
      </c>
      <c r="F25" s="5" t="s">
        <v>122</v>
      </c>
      <c r="G25" s="5" t="s">
        <v>220</v>
      </c>
      <c r="H25" s="5" t="s">
        <v>34</v>
      </c>
      <c r="I25" s="5" t="s">
        <v>35</v>
      </c>
      <c r="J25" s="5" t="s">
        <v>46</v>
      </c>
      <c r="K25" s="5">
        <v>0</v>
      </c>
      <c r="L25" s="12">
        <v>1266</v>
      </c>
      <c r="M25" s="15">
        <v>2320</v>
      </c>
      <c r="N25" s="9">
        <v>1054</v>
      </c>
      <c r="O25" s="9">
        <v>1266</v>
      </c>
      <c r="P25" s="9">
        <v>2320</v>
      </c>
    </row>
    <row r="26" spans="1:16" x14ac:dyDescent="0.3">
      <c r="A26" s="5">
        <v>261719</v>
      </c>
      <c r="B26" s="6">
        <v>44541</v>
      </c>
      <c r="C26" s="5">
        <v>34</v>
      </c>
      <c r="D26" s="5" t="s">
        <v>68</v>
      </c>
      <c r="E26" s="5" t="s">
        <v>16</v>
      </c>
      <c r="F26" s="5" t="s">
        <v>55</v>
      </c>
      <c r="G26" s="5" t="s">
        <v>215</v>
      </c>
      <c r="H26" s="5" t="s">
        <v>34</v>
      </c>
      <c r="I26" s="5" t="s">
        <v>35</v>
      </c>
      <c r="J26" s="5" t="s">
        <v>225</v>
      </c>
      <c r="K26" s="5">
        <v>2</v>
      </c>
      <c r="L26" s="12">
        <v>1252</v>
      </c>
      <c r="M26" s="15">
        <v>2295</v>
      </c>
      <c r="N26" s="9">
        <v>2086</v>
      </c>
      <c r="O26" s="9">
        <v>2504</v>
      </c>
      <c r="P26" s="9">
        <v>4590</v>
      </c>
    </row>
    <row r="27" spans="1:16" x14ac:dyDescent="0.3">
      <c r="A27" s="5">
        <v>261720</v>
      </c>
      <c r="B27" s="6">
        <v>44541</v>
      </c>
      <c r="C27" s="5">
        <v>0</v>
      </c>
      <c r="D27" s="5" t="s">
        <v>49</v>
      </c>
      <c r="E27" s="5" t="s">
        <v>31</v>
      </c>
      <c r="F27" s="5" t="s">
        <v>99</v>
      </c>
      <c r="G27" s="5" t="s">
        <v>150</v>
      </c>
      <c r="H27" s="5" t="s">
        <v>34</v>
      </c>
      <c r="I27" s="5" t="s">
        <v>35</v>
      </c>
      <c r="J27" s="5" t="s">
        <v>225</v>
      </c>
      <c r="K27" s="5">
        <v>2</v>
      </c>
      <c r="L27" s="12">
        <v>1252</v>
      </c>
      <c r="M27" s="15">
        <v>2295</v>
      </c>
      <c r="N27" s="9">
        <v>2086</v>
      </c>
      <c r="O27" s="9">
        <v>2504</v>
      </c>
      <c r="P27" s="9">
        <v>4590</v>
      </c>
    </row>
    <row r="28" spans="1:16" x14ac:dyDescent="0.3">
      <c r="A28" s="5">
        <v>261721</v>
      </c>
      <c r="B28" s="6">
        <v>44541</v>
      </c>
      <c r="C28" s="5">
        <v>26</v>
      </c>
      <c r="D28" s="5" t="s">
        <v>68</v>
      </c>
      <c r="E28" s="5" t="s">
        <v>31</v>
      </c>
      <c r="F28" s="5" t="s">
        <v>213</v>
      </c>
      <c r="G28" s="5" t="s">
        <v>218</v>
      </c>
      <c r="H28" s="5" t="s">
        <v>34</v>
      </c>
      <c r="I28" s="5" t="s">
        <v>35</v>
      </c>
      <c r="J28" s="5" t="s">
        <v>53</v>
      </c>
      <c r="K28" s="5">
        <v>1</v>
      </c>
      <c r="L28" s="12">
        <v>1252</v>
      </c>
      <c r="M28" s="15">
        <v>2295</v>
      </c>
      <c r="N28" s="9">
        <v>1043</v>
      </c>
      <c r="O28" s="9">
        <v>1252</v>
      </c>
      <c r="P28" s="9">
        <v>2295</v>
      </c>
    </row>
    <row r="29" spans="1:16" x14ac:dyDescent="0.3">
      <c r="A29" s="5">
        <v>261722</v>
      </c>
      <c r="B29" s="6">
        <v>44541</v>
      </c>
      <c r="C29" s="5">
        <v>34</v>
      </c>
      <c r="D29" s="5" t="s">
        <v>68</v>
      </c>
      <c r="E29" s="5" t="s">
        <v>31</v>
      </c>
      <c r="F29" s="5" t="s">
        <v>55</v>
      </c>
      <c r="G29" s="5" t="s">
        <v>215</v>
      </c>
      <c r="H29" s="5" t="s">
        <v>34</v>
      </c>
      <c r="I29" s="5" t="s">
        <v>35</v>
      </c>
      <c r="J29" s="5" t="s">
        <v>228</v>
      </c>
      <c r="K29" s="5">
        <v>1</v>
      </c>
      <c r="L29" s="12">
        <v>295</v>
      </c>
      <c r="M29" s="15">
        <v>540</v>
      </c>
      <c r="N29" s="9">
        <v>245</v>
      </c>
      <c r="O29" s="9">
        <v>295</v>
      </c>
      <c r="P29" s="9">
        <v>540</v>
      </c>
    </row>
    <row r="30" spans="1:16" x14ac:dyDescent="0.3">
      <c r="A30" s="5">
        <v>261723</v>
      </c>
      <c r="B30" s="6">
        <v>44542</v>
      </c>
      <c r="C30" s="5">
        <v>34</v>
      </c>
      <c r="D30" s="5" t="s">
        <v>68</v>
      </c>
      <c r="E30" s="5" t="s">
        <v>16</v>
      </c>
      <c r="F30" s="5" t="s">
        <v>55</v>
      </c>
      <c r="G30" s="5" t="s">
        <v>91</v>
      </c>
      <c r="H30" s="5" t="s">
        <v>34</v>
      </c>
      <c r="I30" s="5" t="s">
        <v>35</v>
      </c>
      <c r="J30" s="5" t="s">
        <v>190</v>
      </c>
      <c r="K30" s="5">
        <v>1</v>
      </c>
      <c r="L30" s="12">
        <v>1912</v>
      </c>
      <c r="M30" s="15">
        <v>3400</v>
      </c>
      <c r="N30" s="9">
        <v>1488</v>
      </c>
      <c r="O30" s="9">
        <v>1912</v>
      </c>
      <c r="P30" s="9">
        <v>3400</v>
      </c>
    </row>
    <row r="31" spans="1:16" x14ac:dyDescent="0.3">
      <c r="A31" s="5">
        <v>261724</v>
      </c>
      <c r="B31" s="6">
        <v>44542</v>
      </c>
      <c r="C31" s="5">
        <v>38</v>
      </c>
      <c r="D31" s="5" t="s">
        <v>49</v>
      </c>
      <c r="E31" s="5" t="s">
        <v>31</v>
      </c>
      <c r="F31" s="5" t="s">
        <v>99</v>
      </c>
      <c r="G31" s="5" t="s">
        <v>150</v>
      </c>
      <c r="H31" s="5" t="s">
        <v>34</v>
      </c>
      <c r="I31" s="5" t="s">
        <v>35</v>
      </c>
      <c r="J31" s="5" t="s">
        <v>53</v>
      </c>
      <c r="K31" s="5">
        <v>1</v>
      </c>
      <c r="L31" s="12">
        <v>1252</v>
      </c>
      <c r="M31" s="15">
        <v>2295</v>
      </c>
      <c r="N31" s="9">
        <v>1043</v>
      </c>
      <c r="O31" s="9">
        <v>1252</v>
      </c>
      <c r="P31" s="9">
        <v>2295</v>
      </c>
    </row>
    <row r="32" spans="1:16" x14ac:dyDescent="0.3">
      <c r="A32" s="5">
        <v>261725</v>
      </c>
      <c r="B32" s="6">
        <v>44542</v>
      </c>
      <c r="C32" s="5">
        <v>24</v>
      </c>
      <c r="D32" s="5" t="s">
        <v>108</v>
      </c>
      <c r="E32" s="5" t="s">
        <v>16</v>
      </c>
      <c r="F32" s="5" t="s">
        <v>208</v>
      </c>
      <c r="G32" s="5" t="s">
        <v>223</v>
      </c>
      <c r="H32" s="5" t="s">
        <v>34</v>
      </c>
      <c r="I32" s="5" t="s">
        <v>35</v>
      </c>
      <c r="J32" s="5" t="s">
        <v>53</v>
      </c>
      <c r="K32" s="5">
        <v>3</v>
      </c>
      <c r="L32" s="12">
        <v>1252</v>
      </c>
      <c r="M32" s="15">
        <v>2295</v>
      </c>
      <c r="N32" s="9">
        <v>3129</v>
      </c>
      <c r="O32" s="9">
        <v>3756</v>
      </c>
      <c r="P32" s="9">
        <v>6885</v>
      </c>
    </row>
    <row r="33" spans="1:16" x14ac:dyDescent="0.3">
      <c r="A33" s="5">
        <v>261726</v>
      </c>
      <c r="B33" s="6">
        <v>44543</v>
      </c>
      <c r="C33" s="5">
        <v>0</v>
      </c>
      <c r="D33" s="5" t="s">
        <v>49</v>
      </c>
      <c r="E33" s="5" t="s">
        <v>16</v>
      </c>
      <c r="F33" s="5" t="s">
        <v>99</v>
      </c>
      <c r="G33" s="5" t="s">
        <v>150</v>
      </c>
      <c r="H33" s="5" t="s">
        <v>34</v>
      </c>
      <c r="I33" s="5" t="s">
        <v>35</v>
      </c>
      <c r="J33" s="5" t="s">
        <v>149</v>
      </c>
      <c r="K33" s="5">
        <v>2</v>
      </c>
      <c r="L33" s="12">
        <v>420</v>
      </c>
      <c r="M33" s="15">
        <v>769</v>
      </c>
      <c r="N33" s="9">
        <v>698</v>
      </c>
      <c r="O33" s="9">
        <v>840</v>
      </c>
      <c r="P33" s="9">
        <v>1538</v>
      </c>
    </row>
    <row r="34" spans="1:16" x14ac:dyDescent="0.3">
      <c r="A34" s="5">
        <v>261727</v>
      </c>
      <c r="B34" s="6">
        <v>44543</v>
      </c>
      <c r="C34" s="5">
        <v>27</v>
      </c>
      <c r="D34" s="5" t="s">
        <v>68</v>
      </c>
      <c r="E34" s="5" t="s">
        <v>31</v>
      </c>
      <c r="F34" s="5" t="s">
        <v>214</v>
      </c>
      <c r="G34" s="5" t="s">
        <v>217</v>
      </c>
      <c r="H34" s="5" t="s">
        <v>34</v>
      </c>
      <c r="I34" s="5" t="s">
        <v>35</v>
      </c>
      <c r="J34" s="5" t="s">
        <v>21</v>
      </c>
      <c r="K34" s="5">
        <v>1</v>
      </c>
      <c r="L34" s="12">
        <v>1252</v>
      </c>
      <c r="M34" s="15">
        <v>2295</v>
      </c>
      <c r="N34" s="9">
        <v>1043</v>
      </c>
      <c r="O34" s="9">
        <v>1252</v>
      </c>
      <c r="P34" s="9">
        <v>2295</v>
      </c>
    </row>
    <row r="35" spans="1:16" x14ac:dyDescent="0.3">
      <c r="A35" s="5">
        <v>261728</v>
      </c>
      <c r="B35" s="6">
        <v>44543</v>
      </c>
      <c r="C35" s="5">
        <v>37</v>
      </c>
      <c r="D35" s="5" t="s">
        <v>49</v>
      </c>
      <c r="E35" s="5" t="s">
        <v>31</v>
      </c>
      <c r="F35" s="5" t="s">
        <v>55</v>
      </c>
      <c r="G35" s="5" t="s">
        <v>215</v>
      </c>
      <c r="H35" s="5" t="s">
        <v>34</v>
      </c>
      <c r="I35" s="5" t="s">
        <v>35</v>
      </c>
      <c r="J35" s="5" t="s">
        <v>72</v>
      </c>
      <c r="K35" s="5">
        <v>1</v>
      </c>
      <c r="L35" s="12">
        <v>420</v>
      </c>
      <c r="M35" s="15">
        <v>769</v>
      </c>
      <c r="N35" s="9">
        <v>349</v>
      </c>
      <c r="O35" s="9">
        <v>420</v>
      </c>
      <c r="P35" s="9">
        <v>769</v>
      </c>
    </row>
    <row r="36" spans="1:16" x14ac:dyDescent="0.3">
      <c r="A36" s="5">
        <v>261729</v>
      </c>
      <c r="B36" s="6">
        <v>44544</v>
      </c>
      <c r="C36" s="5">
        <v>38</v>
      </c>
      <c r="D36" s="5" t="s">
        <v>49</v>
      </c>
      <c r="E36" s="5" t="s">
        <v>16</v>
      </c>
      <c r="F36" s="5" t="s">
        <v>55</v>
      </c>
      <c r="G36" s="5" t="s">
        <v>215</v>
      </c>
      <c r="H36" s="5" t="s">
        <v>34</v>
      </c>
      <c r="I36" s="5" t="s">
        <v>35</v>
      </c>
      <c r="J36" s="5" t="s">
        <v>227</v>
      </c>
      <c r="K36" s="5">
        <v>1</v>
      </c>
      <c r="L36" s="12">
        <v>1266</v>
      </c>
      <c r="M36" s="15">
        <v>2320</v>
      </c>
      <c r="N36" s="9">
        <v>1054</v>
      </c>
      <c r="O36" s="9">
        <v>1266</v>
      </c>
      <c r="P36" s="9">
        <v>2320</v>
      </c>
    </row>
    <row r="37" spans="1:16" x14ac:dyDescent="0.3">
      <c r="A37" s="5">
        <v>261730</v>
      </c>
      <c r="B37" s="6">
        <v>44544</v>
      </c>
      <c r="C37" s="5">
        <v>36</v>
      </c>
      <c r="D37" s="5" t="s">
        <v>49</v>
      </c>
      <c r="E37" s="5" t="s">
        <v>16</v>
      </c>
      <c r="F37" s="5" t="s">
        <v>99</v>
      </c>
      <c r="G37" s="5" t="s">
        <v>150</v>
      </c>
      <c r="H37" s="5" t="s">
        <v>34</v>
      </c>
      <c r="I37" s="5" t="s">
        <v>35</v>
      </c>
      <c r="J37" s="5" t="s">
        <v>46</v>
      </c>
      <c r="K37" s="5">
        <v>4</v>
      </c>
      <c r="L37" s="12">
        <v>1266</v>
      </c>
      <c r="M37" s="15">
        <v>2320</v>
      </c>
      <c r="N37" s="9">
        <v>4216</v>
      </c>
      <c r="O37" s="9">
        <v>5064</v>
      </c>
      <c r="P37" s="9">
        <v>9280</v>
      </c>
    </row>
    <row r="38" spans="1:16" x14ac:dyDescent="0.3">
      <c r="A38" s="5">
        <v>261731</v>
      </c>
      <c r="B38" s="6">
        <v>44544</v>
      </c>
      <c r="C38" s="5">
        <v>37</v>
      </c>
      <c r="D38" s="5" t="s">
        <v>49</v>
      </c>
      <c r="E38" s="5" t="s">
        <v>31</v>
      </c>
      <c r="F38" s="5" t="s">
        <v>55</v>
      </c>
      <c r="G38" s="5" t="s">
        <v>215</v>
      </c>
      <c r="H38" s="5" t="s">
        <v>34</v>
      </c>
      <c r="I38" s="5" t="s">
        <v>35</v>
      </c>
      <c r="J38" s="5" t="s">
        <v>72</v>
      </c>
      <c r="K38" s="5">
        <v>4</v>
      </c>
      <c r="L38" s="12">
        <v>420</v>
      </c>
      <c r="M38" s="15">
        <v>769</v>
      </c>
      <c r="N38" s="9">
        <v>1396</v>
      </c>
      <c r="O38" s="9">
        <v>1680</v>
      </c>
      <c r="P38" s="9">
        <v>3076</v>
      </c>
    </row>
    <row r="39" spans="1:16" x14ac:dyDescent="0.3">
      <c r="A39" s="5">
        <v>261732</v>
      </c>
      <c r="B39" s="6">
        <v>44545</v>
      </c>
      <c r="C39" s="5">
        <v>0</v>
      </c>
      <c r="D39" s="5" t="s">
        <v>238</v>
      </c>
      <c r="E39" s="5" t="s">
        <v>31</v>
      </c>
      <c r="F39" s="5" t="s">
        <v>99</v>
      </c>
      <c r="G39" s="5" t="s">
        <v>150</v>
      </c>
      <c r="H39" s="5" t="s">
        <v>34</v>
      </c>
      <c r="I39" s="5" t="s">
        <v>35</v>
      </c>
      <c r="J39" s="5" t="s">
        <v>53</v>
      </c>
      <c r="K39" s="5">
        <v>2</v>
      </c>
      <c r="L39" s="12">
        <v>1252</v>
      </c>
      <c r="M39" s="15">
        <v>2295</v>
      </c>
      <c r="N39" s="9">
        <v>2086</v>
      </c>
      <c r="O39" s="9">
        <v>2504</v>
      </c>
      <c r="P39" s="9">
        <v>4590</v>
      </c>
    </row>
    <row r="40" spans="1:16" x14ac:dyDescent="0.3">
      <c r="A40" s="5">
        <v>261733</v>
      </c>
      <c r="B40" s="6">
        <v>44546</v>
      </c>
      <c r="C40" s="5">
        <v>35</v>
      </c>
      <c r="D40" s="5" t="s">
        <v>49</v>
      </c>
      <c r="E40" s="5" t="s">
        <v>16</v>
      </c>
      <c r="F40" s="5" t="s">
        <v>99</v>
      </c>
      <c r="G40" s="5" t="s">
        <v>127</v>
      </c>
      <c r="H40" s="5" t="s">
        <v>34</v>
      </c>
      <c r="I40" s="5" t="s">
        <v>35</v>
      </c>
      <c r="J40" s="5" t="s">
        <v>46</v>
      </c>
      <c r="K40" s="5">
        <v>0</v>
      </c>
      <c r="L40" s="12">
        <v>1266</v>
      </c>
      <c r="M40" s="15">
        <v>2320</v>
      </c>
      <c r="N40" s="9">
        <v>1054</v>
      </c>
      <c r="O40" s="9">
        <v>1266</v>
      </c>
      <c r="P40" s="9">
        <v>2320</v>
      </c>
    </row>
    <row r="41" spans="1:16" x14ac:dyDescent="0.3">
      <c r="A41" s="5">
        <v>261734</v>
      </c>
      <c r="B41" s="6">
        <v>44546</v>
      </c>
      <c r="C41" s="5">
        <v>38</v>
      </c>
      <c r="D41" s="5" t="s">
        <v>238</v>
      </c>
      <c r="E41" s="5" t="s">
        <v>16</v>
      </c>
      <c r="F41" s="5" t="s">
        <v>55</v>
      </c>
      <c r="G41" s="5" t="s">
        <v>91</v>
      </c>
      <c r="H41" s="5" t="s">
        <v>34</v>
      </c>
      <c r="I41" s="5" t="s">
        <v>35</v>
      </c>
      <c r="J41" s="5" t="s">
        <v>46</v>
      </c>
      <c r="K41" s="5">
        <v>1</v>
      </c>
      <c r="L41" s="12">
        <v>1266</v>
      </c>
      <c r="M41" s="15">
        <v>2320</v>
      </c>
      <c r="N41" s="9">
        <v>1054</v>
      </c>
      <c r="O41" s="9">
        <v>1266</v>
      </c>
      <c r="P41" s="9">
        <v>2320</v>
      </c>
    </row>
    <row r="42" spans="1:16" x14ac:dyDescent="0.3">
      <c r="A42" s="5">
        <v>261735</v>
      </c>
      <c r="B42" s="6">
        <v>44547</v>
      </c>
      <c r="C42" s="5">
        <v>32</v>
      </c>
      <c r="D42" s="5" t="s">
        <v>68</v>
      </c>
      <c r="E42" s="5" t="s">
        <v>16</v>
      </c>
      <c r="F42" s="5" t="s">
        <v>99</v>
      </c>
      <c r="G42" s="5" t="s">
        <v>18</v>
      </c>
      <c r="H42" s="5" t="s">
        <v>34</v>
      </c>
      <c r="I42" s="5" t="s">
        <v>35</v>
      </c>
      <c r="J42" s="5" t="s">
        <v>46</v>
      </c>
      <c r="K42" s="5">
        <v>3</v>
      </c>
      <c r="L42" s="12">
        <v>1266</v>
      </c>
      <c r="M42" s="15">
        <v>2320</v>
      </c>
      <c r="N42" s="9">
        <v>3162</v>
      </c>
      <c r="O42" s="9">
        <v>3798</v>
      </c>
      <c r="P42" s="9">
        <v>6960</v>
      </c>
    </row>
    <row r="43" spans="1:16" x14ac:dyDescent="0.3">
      <c r="A43" s="5">
        <v>261736</v>
      </c>
      <c r="B43" s="6">
        <v>44547</v>
      </c>
      <c r="C43" s="5">
        <v>40</v>
      </c>
      <c r="D43" s="5" t="s">
        <v>49</v>
      </c>
      <c r="E43" s="5" t="s">
        <v>16</v>
      </c>
      <c r="F43" s="5" t="s">
        <v>55</v>
      </c>
      <c r="G43" s="5" t="s">
        <v>215</v>
      </c>
      <c r="H43" s="5" t="s">
        <v>34</v>
      </c>
      <c r="I43" s="5" t="s">
        <v>35</v>
      </c>
      <c r="J43" s="5" t="s">
        <v>226</v>
      </c>
      <c r="K43" s="5">
        <v>1</v>
      </c>
      <c r="L43" s="12">
        <v>308</v>
      </c>
      <c r="M43" s="15">
        <v>565</v>
      </c>
      <c r="N43" s="9">
        <v>257</v>
      </c>
      <c r="O43" s="9">
        <v>308</v>
      </c>
      <c r="P43" s="9">
        <v>565</v>
      </c>
    </row>
    <row r="44" spans="1:16" x14ac:dyDescent="0.3">
      <c r="A44" s="5">
        <v>261737</v>
      </c>
      <c r="B44" s="6">
        <v>44547</v>
      </c>
      <c r="C44" s="5">
        <v>44</v>
      </c>
      <c r="D44" s="5" t="s">
        <v>49</v>
      </c>
      <c r="E44" s="5" t="s">
        <v>16</v>
      </c>
      <c r="F44" s="5" t="s">
        <v>213</v>
      </c>
      <c r="G44" s="5" t="s">
        <v>218</v>
      </c>
      <c r="H44" s="5" t="s">
        <v>34</v>
      </c>
      <c r="I44" s="5" t="s">
        <v>35</v>
      </c>
      <c r="J44" s="5" t="s">
        <v>53</v>
      </c>
      <c r="K44" s="5">
        <v>1</v>
      </c>
      <c r="L44" s="12">
        <v>1252</v>
      </c>
      <c r="M44" s="15">
        <v>2295</v>
      </c>
      <c r="N44" s="9">
        <v>1043</v>
      </c>
      <c r="O44" s="9">
        <v>1252</v>
      </c>
      <c r="P44" s="9">
        <v>2295</v>
      </c>
    </row>
    <row r="45" spans="1:16" x14ac:dyDescent="0.3">
      <c r="A45" s="5">
        <v>261738</v>
      </c>
      <c r="B45" s="6">
        <v>44548</v>
      </c>
      <c r="C45" s="5">
        <v>49</v>
      </c>
      <c r="D45" s="5" t="s">
        <v>49</v>
      </c>
      <c r="E45" s="5" t="s">
        <v>31</v>
      </c>
      <c r="F45" s="5" t="s">
        <v>213</v>
      </c>
      <c r="G45" s="5" t="s">
        <v>218</v>
      </c>
      <c r="H45" s="5" t="s">
        <v>34</v>
      </c>
      <c r="I45" s="5" t="s">
        <v>35</v>
      </c>
      <c r="J45" s="5" t="s">
        <v>53</v>
      </c>
      <c r="K45" s="5">
        <v>1</v>
      </c>
      <c r="L45" s="12">
        <v>1252</v>
      </c>
      <c r="M45" s="15">
        <v>2295</v>
      </c>
      <c r="N45" s="9">
        <v>1043</v>
      </c>
      <c r="O45" s="9">
        <v>1252</v>
      </c>
      <c r="P45" s="9">
        <v>2295</v>
      </c>
    </row>
    <row r="46" spans="1:16" x14ac:dyDescent="0.3">
      <c r="A46" s="5">
        <v>261739</v>
      </c>
      <c r="B46" s="6">
        <v>44548</v>
      </c>
      <c r="C46" s="5">
        <v>30</v>
      </c>
      <c r="D46" s="5" t="s">
        <v>68</v>
      </c>
      <c r="E46" s="5" t="s">
        <v>16</v>
      </c>
      <c r="F46" s="5" t="s">
        <v>55</v>
      </c>
      <c r="G46" s="5" t="s">
        <v>91</v>
      </c>
      <c r="H46" s="5" t="s">
        <v>34</v>
      </c>
      <c r="I46" s="5" t="s">
        <v>35</v>
      </c>
      <c r="J46" s="5" t="s">
        <v>227</v>
      </c>
      <c r="K46" s="5">
        <v>2</v>
      </c>
      <c r="L46" s="12">
        <v>1266</v>
      </c>
      <c r="M46" s="15">
        <v>2320</v>
      </c>
      <c r="N46" s="9">
        <v>2108</v>
      </c>
      <c r="O46" s="9">
        <v>2532</v>
      </c>
      <c r="P46" s="9">
        <v>4640</v>
      </c>
    </row>
    <row r="47" spans="1:16" x14ac:dyDescent="0.3">
      <c r="A47" s="5">
        <v>261740</v>
      </c>
      <c r="B47" s="6">
        <v>44548</v>
      </c>
      <c r="C47" s="5">
        <v>32</v>
      </c>
      <c r="D47" s="5" t="s">
        <v>68</v>
      </c>
      <c r="E47" s="5" t="s">
        <v>31</v>
      </c>
      <c r="F47" s="5" t="s">
        <v>55</v>
      </c>
      <c r="G47" s="5" t="s">
        <v>215</v>
      </c>
      <c r="H47" s="5" t="s">
        <v>34</v>
      </c>
      <c r="I47" s="5" t="s">
        <v>35</v>
      </c>
      <c r="J47" s="5" t="s">
        <v>21</v>
      </c>
      <c r="K47" s="5">
        <v>1</v>
      </c>
      <c r="L47" s="12">
        <v>1252</v>
      </c>
      <c r="M47" s="15">
        <v>2295</v>
      </c>
      <c r="N47" s="9">
        <v>1043</v>
      </c>
      <c r="O47" s="9">
        <v>1252</v>
      </c>
      <c r="P47" s="9">
        <v>2295</v>
      </c>
    </row>
    <row r="48" spans="1:16" x14ac:dyDescent="0.3">
      <c r="A48" s="5">
        <v>261741</v>
      </c>
      <c r="B48" s="6">
        <v>44548</v>
      </c>
      <c r="C48" s="5">
        <v>32</v>
      </c>
      <c r="D48" s="5" t="s">
        <v>68</v>
      </c>
      <c r="E48" s="5" t="s">
        <v>16</v>
      </c>
      <c r="F48" s="5" t="s">
        <v>99</v>
      </c>
      <c r="G48" s="5" t="s">
        <v>127</v>
      </c>
      <c r="H48" s="5" t="s">
        <v>34</v>
      </c>
      <c r="I48" s="5" t="s">
        <v>35</v>
      </c>
      <c r="J48" s="5" t="s">
        <v>72</v>
      </c>
      <c r="K48" s="5">
        <v>1</v>
      </c>
      <c r="L48" s="12">
        <v>420</v>
      </c>
      <c r="M48" s="15">
        <v>769</v>
      </c>
      <c r="N48" s="9">
        <v>349</v>
      </c>
      <c r="O48" s="9">
        <v>420</v>
      </c>
      <c r="P48" s="9">
        <v>769</v>
      </c>
    </row>
    <row r="49" spans="1:16" x14ac:dyDescent="0.3">
      <c r="A49" s="5">
        <v>261742</v>
      </c>
      <c r="B49" s="6">
        <v>44548</v>
      </c>
      <c r="C49" s="5">
        <v>29</v>
      </c>
      <c r="D49" s="5" t="s">
        <v>68</v>
      </c>
      <c r="E49" s="5" t="s">
        <v>16</v>
      </c>
      <c r="F49" s="5" t="s">
        <v>55</v>
      </c>
      <c r="G49" s="5" t="s">
        <v>215</v>
      </c>
      <c r="H49" s="5" t="s">
        <v>34</v>
      </c>
      <c r="I49" s="5" t="s">
        <v>35</v>
      </c>
      <c r="J49" s="5" t="s">
        <v>46</v>
      </c>
      <c r="K49" s="5">
        <v>1</v>
      </c>
      <c r="L49" s="12">
        <v>1266</v>
      </c>
      <c r="M49" s="15">
        <v>2320</v>
      </c>
      <c r="N49" s="9">
        <v>1054</v>
      </c>
      <c r="O49" s="9">
        <v>1266</v>
      </c>
      <c r="P49" s="9">
        <v>2320</v>
      </c>
    </row>
    <row r="50" spans="1:16" x14ac:dyDescent="0.3">
      <c r="A50" s="5">
        <v>261743</v>
      </c>
      <c r="B50" s="6">
        <v>44549</v>
      </c>
      <c r="C50" s="5">
        <v>33</v>
      </c>
      <c r="D50" s="5" t="s">
        <v>238</v>
      </c>
      <c r="E50" s="5" t="s">
        <v>16</v>
      </c>
      <c r="F50" s="5" t="s">
        <v>99</v>
      </c>
      <c r="G50" s="5" t="s">
        <v>150</v>
      </c>
      <c r="H50" s="5" t="s">
        <v>34</v>
      </c>
      <c r="I50" s="5" t="s">
        <v>35</v>
      </c>
      <c r="J50" s="5" t="s">
        <v>53</v>
      </c>
      <c r="K50" s="5">
        <v>2</v>
      </c>
      <c r="L50" s="12">
        <v>1252</v>
      </c>
      <c r="M50" s="15">
        <v>2295</v>
      </c>
      <c r="N50" s="9">
        <v>2086</v>
      </c>
      <c r="O50" s="9">
        <v>2504</v>
      </c>
      <c r="P50" s="9">
        <v>4590</v>
      </c>
    </row>
    <row r="51" spans="1:16" x14ac:dyDescent="0.3">
      <c r="A51" s="5">
        <v>261744</v>
      </c>
      <c r="B51" s="6">
        <v>44549</v>
      </c>
      <c r="C51" s="5">
        <v>38</v>
      </c>
      <c r="D51" s="5" t="s">
        <v>49</v>
      </c>
      <c r="E51" s="5" t="s">
        <v>31</v>
      </c>
      <c r="F51" s="5" t="s">
        <v>99</v>
      </c>
      <c r="G51" s="5" t="s">
        <v>150</v>
      </c>
      <c r="H51" s="5" t="s">
        <v>34</v>
      </c>
      <c r="I51" s="5" t="s">
        <v>35</v>
      </c>
      <c r="J51" s="5" t="s">
        <v>53</v>
      </c>
      <c r="K51" s="5">
        <v>2</v>
      </c>
      <c r="L51" s="12">
        <v>1252</v>
      </c>
      <c r="M51" s="15">
        <v>2295</v>
      </c>
      <c r="N51" s="9">
        <v>2086</v>
      </c>
      <c r="O51" s="9">
        <v>2504</v>
      </c>
      <c r="P51" s="9">
        <v>4590</v>
      </c>
    </row>
    <row r="52" spans="1:16" x14ac:dyDescent="0.3">
      <c r="A52" s="5">
        <v>261745</v>
      </c>
      <c r="B52" s="6">
        <v>44549</v>
      </c>
      <c r="C52" s="5">
        <v>27</v>
      </c>
      <c r="D52" s="5" t="s">
        <v>68</v>
      </c>
      <c r="E52" s="5" t="s">
        <v>16</v>
      </c>
      <c r="F52" s="5" t="s">
        <v>208</v>
      </c>
      <c r="G52" s="5" t="s">
        <v>236</v>
      </c>
      <c r="H52" s="5" t="s">
        <v>34</v>
      </c>
      <c r="I52" s="5" t="s">
        <v>237</v>
      </c>
      <c r="J52" s="5" t="s">
        <v>230</v>
      </c>
      <c r="K52" s="5">
        <v>1</v>
      </c>
      <c r="L52" s="12">
        <v>1266</v>
      </c>
      <c r="M52" s="15">
        <v>2320</v>
      </c>
      <c r="N52" s="9">
        <v>1054</v>
      </c>
      <c r="O52" s="9">
        <v>1266</v>
      </c>
      <c r="P52" s="9">
        <v>2320</v>
      </c>
    </row>
    <row r="53" spans="1:16" x14ac:dyDescent="0.3">
      <c r="A53" s="5">
        <v>261746</v>
      </c>
      <c r="B53" s="6">
        <v>44549</v>
      </c>
      <c r="C53" s="5">
        <v>37</v>
      </c>
      <c r="D53" s="5" t="s">
        <v>49</v>
      </c>
      <c r="E53" s="5" t="s">
        <v>16</v>
      </c>
      <c r="F53" s="5" t="s">
        <v>55</v>
      </c>
      <c r="G53" s="5" t="s">
        <v>91</v>
      </c>
      <c r="H53" s="5" t="s">
        <v>34</v>
      </c>
      <c r="I53" s="5" t="s">
        <v>35</v>
      </c>
      <c r="J53" s="5" t="s">
        <v>227</v>
      </c>
      <c r="K53" s="5">
        <v>2</v>
      </c>
      <c r="L53" s="12">
        <v>1266</v>
      </c>
      <c r="M53" s="15">
        <v>2320</v>
      </c>
      <c r="N53" s="9">
        <v>2108</v>
      </c>
      <c r="O53" s="9">
        <v>2532</v>
      </c>
      <c r="P53" s="9">
        <v>4640</v>
      </c>
    </row>
    <row r="54" spans="1:16" x14ac:dyDescent="0.3">
      <c r="A54" s="5">
        <v>261747</v>
      </c>
      <c r="B54" s="6">
        <v>44549</v>
      </c>
      <c r="C54" s="5">
        <v>31</v>
      </c>
      <c r="D54" s="5" t="s">
        <v>68</v>
      </c>
      <c r="E54" s="5" t="s">
        <v>31</v>
      </c>
      <c r="F54" s="5" t="s">
        <v>99</v>
      </c>
      <c r="G54" s="5" t="s">
        <v>150</v>
      </c>
      <c r="H54" s="5" t="s">
        <v>34</v>
      </c>
      <c r="I54" s="5" t="s">
        <v>35</v>
      </c>
      <c r="J54" s="5" t="s">
        <v>179</v>
      </c>
      <c r="K54" s="5">
        <v>1</v>
      </c>
      <c r="L54" s="12">
        <v>420</v>
      </c>
      <c r="M54" s="15">
        <v>769</v>
      </c>
      <c r="N54" s="9">
        <v>349</v>
      </c>
      <c r="O54" s="9">
        <v>420</v>
      </c>
      <c r="P54" s="9">
        <v>769</v>
      </c>
    </row>
    <row r="55" spans="1:16" x14ac:dyDescent="0.3">
      <c r="A55" s="5">
        <v>261748</v>
      </c>
      <c r="B55" s="6">
        <v>44549</v>
      </c>
      <c r="C55" s="5">
        <v>42</v>
      </c>
      <c r="D55" s="5" t="s">
        <v>49</v>
      </c>
      <c r="E55" s="5" t="s">
        <v>16</v>
      </c>
      <c r="F55" s="5" t="s">
        <v>122</v>
      </c>
      <c r="G55" s="5" t="s">
        <v>233</v>
      </c>
      <c r="H55" s="5" t="s">
        <v>34</v>
      </c>
      <c r="I55" s="5" t="s">
        <v>35</v>
      </c>
      <c r="J55" s="5" t="s">
        <v>230</v>
      </c>
      <c r="K55" s="5">
        <v>1</v>
      </c>
      <c r="L55" s="12">
        <v>1266</v>
      </c>
      <c r="M55" s="15">
        <v>2320</v>
      </c>
      <c r="N55" s="9">
        <v>1054</v>
      </c>
      <c r="O55" s="9">
        <v>1266</v>
      </c>
      <c r="P55" s="9">
        <v>2320</v>
      </c>
    </row>
    <row r="56" spans="1:16" x14ac:dyDescent="0.3">
      <c r="A56" s="5">
        <v>261749</v>
      </c>
      <c r="B56" s="6">
        <v>44549</v>
      </c>
      <c r="C56" s="5">
        <v>35</v>
      </c>
      <c r="D56" s="5" t="s">
        <v>49</v>
      </c>
      <c r="E56" s="5" t="s">
        <v>16</v>
      </c>
      <c r="F56" s="5" t="s">
        <v>99</v>
      </c>
      <c r="G56" s="5" t="s">
        <v>150</v>
      </c>
      <c r="H56" s="5" t="s">
        <v>34</v>
      </c>
      <c r="I56" s="5" t="s">
        <v>35</v>
      </c>
      <c r="J56" s="5" t="s">
        <v>63</v>
      </c>
      <c r="K56" s="5">
        <v>4</v>
      </c>
      <c r="L56" s="12">
        <v>308</v>
      </c>
      <c r="M56" s="15">
        <v>565</v>
      </c>
      <c r="N56" s="9">
        <v>1028</v>
      </c>
      <c r="O56" s="9">
        <v>1232</v>
      </c>
      <c r="P56" s="9">
        <v>2260</v>
      </c>
    </row>
    <row r="57" spans="1:16" x14ac:dyDescent="0.3">
      <c r="A57" s="5">
        <v>261750</v>
      </c>
      <c r="B57" s="6">
        <v>44549</v>
      </c>
      <c r="C57" s="5">
        <v>38</v>
      </c>
      <c r="D57" s="5" t="s">
        <v>49</v>
      </c>
      <c r="E57" s="5" t="s">
        <v>16</v>
      </c>
      <c r="F57" s="5" t="s">
        <v>122</v>
      </c>
      <c r="G57" s="5" t="s">
        <v>233</v>
      </c>
      <c r="H57" s="5" t="s">
        <v>34</v>
      </c>
      <c r="I57" s="5" t="s">
        <v>35</v>
      </c>
      <c r="J57" s="5" t="s">
        <v>230</v>
      </c>
      <c r="K57" s="5">
        <v>4</v>
      </c>
      <c r="L57" s="12">
        <v>1266</v>
      </c>
      <c r="M57" s="15">
        <v>2320</v>
      </c>
      <c r="N57" s="9">
        <v>4216</v>
      </c>
      <c r="O57" s="9">
        <v>5064</v>
      </c>
      <c r="P57" s="9">
        <v>9280</v>
      </c>
    </row>
    <row r="58" spans="1:16" x14ac:dyDescent="0.3">
      <c r="A58" s="5">
        <v>261751</v>
      </c>
      <c r="B58" s="6">
        <v>44549</v>
      </c>
      <c r="C58" s="5">
        <v>24</v>
      </c>
      <c r="D58" s="5" t="s">
        <v>108</v>
      </c>
      <c r="E58" s="5" t="s">
        <v>16</v>
      </c>
      <c r="F58" s="5" t="s">
        <v>208</v>
      </c>
      <c r="G58" s="5" t="s">
        <v>235</v>
      </c>
      <c r="H58" s="5" t="s">
        <v>34</v>
      </c>
      <c r="I58" s="5" t="s">
        <v>35</v>
      </c>
      <c r="J58" s="5" t="s">
        <v>227</v>
      </c>
      <c r="K58" s="5">
        <v>3</v>
      </c>
      <c r="L58" s="12">
        <v>1266</v>
      </c>
      <c r="M58" s="15">
        <v>2320</v>
      </c>
      <c r="N58" s="9">
        <v>3162</v>
      </c>
      <c r="O58" s="9">
        <v>3798</v>
      </c>
      <c r="P58" s="9">
        <v>6960</v>
      </c>
    </row>
    <row r="59" spans="1:16" x14ac:dyDescent="0.3">
      <c r="A59" s="5">
        <v>261752</v>
      </c>
      <c r="B59" s="6">
        <v>44550</v>
      </c>
      <c r="C59" s="5">
        <v>26</v>
      </c>
      <c r="D59" s="5" t="s">
        <v>68</v>
      </c>
      <c r="E59" s="5" t="s">
        <v>16</v>
      </c>
      <c r="F59" s="5" t="s">
        <v>213</v>
      </c>
      <c r="G59" s="5" t="s">
        <v>218</v>
      </c>
      <c r="H59" s="5" t="s">
        <v>34</v>
      </c>
      <c r="I59" s="5" t="s">
        <v>35</v>
      </c>
      <c r="J59" s="5" t="s">
        <v>179</v>
      </c>
      <c r="K59" s="5">
        <v>3</v>
      </c>
      <c r="L59" s="12">
        <v>420</v>
      </c>
      <c r="M59" s="15">
        <v>769</v>
      </c>
      <c r="N59" s="9">
        <v>1047</v>
      </c>
      <c r="O59" s="9">
        <v>1260</v>
      </c>
      <c r="P59" s="9">
        <v>2307</v>
      </c>
    </row>
    <row r="60" spans="1:16" x14ac:dyDescent="0.3">
      <c r="A60" s="5">
        <v>261753</v>
      </c>
      <c r="B60" s="6">
        <v>44550</v>
      </c>
      <c r="C60" s="5">
        <v>39</v>
      </c>
      <c r="D60" s="5" t="s">
        <v>49</v>
      </c>
      <c r="E60" s="5" t="s">
        <v>31</v>
      </c>
      <c r="F60" s="5" t="s">
        <v>55</v>
      </c>
      <c r="G60" s="5" t="s">
        <v>215</v>
      </c>
      <c r="H60" s="5" t="s">
        <v>34</v>
      </c>
      <c r="I60" s="5" t="s">
        <v>35</v>
      </c>
      <c r="J60" s="5" t="s">
        <v>225</v>
      </c>
      <c r="K60" s="5">
        <v>3</v>
      </c>
      <c r="L60" s="12">
        <v>1252</v>
      </c>
      <c r="M60" s="15">
        <v>2295</v>
      </c>
      <c r="N60" s="9">
        <v>3129</v>
      </c>
      <c r="O60" s="9">
        <v>3756</v>
      </c>
      <c r="P60" s="9">
        <v>6885</v>
      </c>
    </row>
    <row r="61" spans="1:16" x14ac:dyDescent="0.3">
      <c r="A61" s="5">
        <v>261754</v>
      </c>
      <c r="B61" s="6">
        <v>44550</v>
      </c>
      <c r="C61" s="5">
        <v>26</v>
      </c>
      <c r="D61" s="5" t="s">
        <v>68</v>
      </c>
      <c r="E61" s="5" t="s">
        <v>31</v>
      </c>
      <c r="F61" s="5" t="s">
        <v>208</v>
      </c>
      <c r="G61" s="5" t="s">
        <v>223</v>
      </c>
      <c r="H61" s="5" t="s">
        <v>34</v>
      </c>
      <c r="I61" s="5" t="s">
        <v>35</v>
      </c>
      <c r="J61" s="5" t="s">
        <v>21</v>
      </c>
      <c r="K61" s="5">
        <v>1</v>
      </c>
      <c r="L61" s="12">
        <v>1252</v>
      </c>
      <c r="M61" s="15">
        <v>2295</v>
      </c>
      <c r="N61" s="9">
        <v>1043</v>
      </c>
      <c r="O61" s="9">
        <v>1252</v>
      </c>
      <c r="P61" s="9">
        <v>2295</v>
      </c>
    </row>
    <row r="62" spans="1:16" x14ac:dyDescent="0.3">
      <c r="A62" s="5">
        <v>261755</v>
      </c>
      <c r="B62" s="6">
        <v>44550</v>
      </c>
      <c r="C62" s="5">
        <v>36</v>
      </c>
      <c r="D62" s="5" t="s">
        <v>49</v>
      </c>
      <c r="E62" s="5" t="s">
        <v>31</v>
      </c>
      <c r="F62" s="5" t="s">
        <v>55</v>
      </c>
      <c r="G62" s="5" t="s">
        <v>91</v>
      </c>
      <c r="H62" s="5" t="s">
        <v>34</v>
      </c>
      <c r="I62" s="5" t="s">
        <v>35</v>
      </c>
      <c r="J62" s="5" t="s">
        <v>227</v>
      </c>
      <c r="K62" s="5">
        <v>1</v>
      </c>
      <c r="L62" s="12">
        <v>1266</v>
      </c>
      <c r="M62" s="15">
        <v>2320</v>
      </c>
      <c r="N62" s="9">
        <v>1054</v>
      </c>
      <c r="O62" s="9">
        <v>1266</v>
      </c>
      <c r="P62" s="9">
        <v>2320</v>
      </c>
    </row>
    <row r="63" spans="1:16" x14ac:dyDescent="0.3">
      <c r="A63" s="5">
        <v>261756</v>
      </c>
      <c r="B63" s="6">
        <v>44550</v>
      </c>
      <c r="C63" s="5">
        <v>17</v>
      </c>
      <c r="D63" s="5" t="s">
        <v>108</v>
      </c>
      <c r="E63" s="5" t="s">
        <v>31</v>
      </c>
      <c r="F63" s="5" t="s">
        <v>208</v>
      </c>
      <c r="G63" s="5" t="s">
        <v>222</v>
      </c>
      <c r="H63" s="5" t="s">
        <v>34</v>
      </c>
      <c r="I63" s="5" t="s">
        <v>35</v>
      </c>
      <c r="J63" s="5" t="s">
        <v>230</v>
      </c>
      <c r="K63" s="5">
        <v>0</v>
      </c>
      <c r="L63" s="12">
        <v>1266</v>
      </c>
      <c r="M63" s="15">
        <v>2320</v>
      </c>
      <c r="N63" s="9">
        <v>4216</v>
      </c>
      <c r="O63" s="9">
        <v>5064</v>
      </c>
      <c r="P63" s="9">
        <v>9280</v>
      </c>
    </row>
    <row r="64" spans="1:16" x14ac:dyDescent="0.3">
      <c r="A64" s="5">
        <v>261757</v>
      </c>
      <c r="B64" s="6">
        <v>44551</v>
      </c>
      <c r="C64" s="5">
        <v>19</v>
      </c>
      <c r="D64" s="5" t="s">
        <v>108</v>
      </c>
      <c r="E64" s="5" t="s">
        <v>16</v>
      </c>
      <c r="F64" s="5" t="s">
        <v>99</v>
      </c>
      <c r="G64" s="5" t="s">
        <v>127</v>
      </c>
      <c r="H64" s="5" t="s">
        <v>34</v>
      </c>
      <c r="I64" s="5" t="s">
        <v>35</v>
      </c>
      <c r="J64" s="5" t="s">
        <v>229</v>
      </c>
      <c r="K64" s="5">
        <v>4</v>
      </c>
      <c r="L64" s="12">
        <v>295</v>
      </c>
      <c r="M64" s="15">
        <v>540</v>
      </c>
      <c r="N64" s="9">
        <v>980</v>
      </c>
      <c r="O64" s="9">
        <v>1180</v>
      </c>
      <c r="P64" s="9">
        <v>2160</v>
      </c>
    </row>
    <row r="65" spans="1:16" x14ac:dyDescent="0.3">
      <c r="A65" s="5">
        <v>261758</v>
      </c>
      <c r="B65" s="6">
        <v>44551</v>
      </c>
      <c r="C65" s="5">
        <v>25</v>
      </c>
      <c r="D65" s="5" t="s">
        <v>68</v>
      </c>
      <c r="E65" s="5" t="s">
        <v>31</v>
      </c>
      <c r="F65" s="5" t="s">
        <v>208</v>
      </c>
      <c r="G65" s="5" t="s">
        <v>223</v>
      </c>
      <c r="H65" s="5" t="s">
        <v>34</v>
      </c>
      <c r="I65" s="5" t="s">
        <v>35</v>
      </c>
      <c r="J65" s="5" t="s">
        <v>53</v>
      </c>
      <c r="K65" s="5">
        <v>4</v>
      </c>
      <c r="L65" s="12">
        <v>1252</v>
      </c>
      <c r="M65" s="15">
        <v>2295</v>
      </c>
      <c r="N65" s="9">
        <v>4172</v>
      </c>
      <c r="O65" s="9">
        <v>5008</v>
      </c>
      <c r="P65" s="9">
        <v>9180</v>
      </c>
    </row>
    <row r="66" spans="1:16" x14ac:dyDescent="0.3">
      <c r="A66" s="5">
        <v>261759</v>
      </c>
      <c r="B66" s="6">
        <v>44552</v>
      </c>
      <c r="C66" s="5">
        <v>35</v>
      </c>
      <c r="D66" s="5" t="s">
        <v>49</v>
      </c>
      <c r="E66" s="5" t="s">
        <v>16</v>
      </c>
      <c r="F66" s="5" t="s">
        <v>55</v>
      </c>
      <c r="G66" s="5" t="s">
        <v>221</v>
      </c>
      <c r="H66" s="5" t="s">
        <v>34</v>
      </c>
      <c r="I66" s="5" t="s">
        <v>35</v>
      </c>
      <c r="J66" s="5" t="s">
        <v>231</v>
      </c>
      <c r="K66" s="5">
        <v>4</v>
      </c>
      <c r="L66" s="12">
        <v>1898</v>
      </c>
      <c r="M66" s="15">
        <v>3375</v>
      </c>
      <c r="N66" s="9">
        <v>5908</v>
      </c>
      <c r="O66" s="9">
        <v>7592</v>
      </c>
      <c r="P66" s="9">
        <v>13500</v>
      </c>
    </row>
    <row r="67" spans="1:16" x14ac:dyDescent="0.3">
      <c r="A67" s="5">
        <v>261760</v>
      </c>
      <c r="B67" s="6">
        <v>44552</v>
      </c>
      <c r="C67" s="5">
        <v>37</v>
      </c>
      <c r="D67" s="5" t="s">
        <v>49</v>
      </c>
      <c r="E67" s="5" t="s">
        <v>31</v>
      </c>
      <c r="F67" s="5" t="s">
        <v>55</v>
      </c>
      <c r="G67" s="5" t="s">
        <v>221</v>
      </c>
      <c r="H67" s="5" t="s">
        <v>34</v>
      </c>
      <c r="I67" s="5" t="s">
        <v>35</v>
      </c>
      <c r="J67" s="5" t="s">
        <v>53</v>
      </c>
      <c r="K67" s="5">
        <v>4</v>
      </c>
      <c r="L67" s="12">
        <v>1252</v>
      </c>
      <c r="M67" s="15">
        <v>2295</v>
      </c>
      <c r="N67" s="9">
        <v>4172</v>
      </c>
      <c r="O67" s="9">
        <v>5008</v>
      </c>
      <c r="P67" s="9">
        <v>9180</v>
      </c>
    </row>
    <row r="68" spans="1:16" x14ac:dyDescent="0.3">
      <c r="A68" s="5">
        <v>261761</v>
      </c>
      <c r="B68" s="6">
        <v>44552</v>
      </c>
      <c r="C68" s="5">
        <v>39</v>
      </c>
      <c r="D68" s="5" t="s">
        <v>49</v>
      </c>
      <c r="E68" s="5" t="s">
        <v>16</v>
      </c>
      <c r="F68" s="5" t="s">
        <v>55</v>
      </c>
      <c r="G68" s="5" t="s">
        <v>215</v>
      </c>
      <c r="H68" s="5" t="s">
        <v>34</v>
      </c>
      <c r="I68" s="5" t="s">
        <v>35</v>
      </c>
      <c r="J68" s="5" t="s">
        <v>21</v>
      </c>
      <c r="K68" s="5">
        <v>4</v>
      </c>
      <c r="L68" s="12">
        <v>1252</v>
      </c>
      <c r="M68" s="15">
        <v>2295</v>
      </c>
      <c r="N68" s="9">
        <v>4172</v>
      </c>
      <c r="O68" s="9">
        <v>5008</v>
      </c>
      <c r="P68" s="9">
        <v>9180</v>
      </c>
    </row>
    <row r="69" spans="1:16" x14ac:dyDescent="0.3">
      <c r="A69" s="5">
        <v>261762</v>
      </c>
      <c r="B69" s="6">
        <v>44552</v>
      </c>
      <c r="C69" s="5">
        <v>63</v>
      </c>
      <c r="D69" s="5" t="s">
        <v>68</v>
      </c>
      <c r="E69" s="5" t="s">
        <v>16</v>
      </c>
      <c r="F69" s="5" t="s">
        <v>99</v>
      </c>
      <c r="G69" s="5" t="s">
        <v>18</v>
      </c>
      <c r="H69" s="5" t="s">
        <v>34</v>
      </c>
      <c r="I69" s="5" t="s">
        <v>35</v>
      </c>
      <c r="J69" s="5" t="s">
        <v>21</v>
      </c>
      <c r="K69" s="5">
        <v>4</v>
      </c>
      <c r="L69" s="12">
        <v>1252</v>
      </c>
      <c r="M69" s="15">
        <v>2295</v>
      </c>
      <c r="N69" s="9">
        <v>4172</v>
      </c>
      <c r="O69" s="9">
        <v>5008</v>
      </c>
      <c r="P69" s="9">
        <v>9180</v>
      </c>
    </row>
    <row r="70" spans="1:16" x14ac:dyDescent="0.3">
      <c r="A70" s="5">
        <v>261763</v>
      </c>
      <c r="B70" s="6">
        <v>44553</v>
      </c>
      <c r="C70" s="5">
        <v>18</v>
      </c>
      <c r="D70" s="5" t="s">
        <v>108</v>
      </c>
      <c r="E70" s="5" t="s">
        <v>31</v>
      </c>
      <c r="F70" s="5" t="s">
        <v>99</v>
      </c>
      <c r="G70" s="5" t="s">
        <v>219</v>
      </c>
      <c r="H70" s="5" t="s">
        <v>34</v>
      </c>
      <c r="I70" s="5" t="s">
        <v>35</v>
      </c>
      <c r="J70" s="5" t="s">
        <v>228</v>
      </c>
      <c r="K70" s="5">
        <v>2</v>
      </c>
      <c r="L70" s="12">
        <v>295</v>
      </c>
      <c r="M70" s="15">
        <v>540</v>
      </c>
      <c r="N70" s="9">
        <v>490</v>
      </c>
      <c r="O70" s="9">
        <v>590</v>
      </c>
      <c r="P70" s="9">
        <v>1080</v>
      </c>
    </row>
    <row r="71" spans="1:16" x14ac:dyDescent="0.3">
      <c r="A71" s="5">
        <v>261764</v>
      </c>
      <c r="B71" s="6">
        <v>44553</v>
      </c>
      <c r="C71" s="5">
        <v>56</v>
      </c>
      <c r="D71" s="5" t="s">
        <v>49</v>
      </c>
      <c r="E71" s="5" t="s">
        <v>16</v>
      </c>
      <c r="F71" s="5" t="s">
        <v>122</v>
      </c>
      <c r="G71" s="5" t="s">
        <v>216</v>
      </c>
      <c r="H71" s="5" t="s">
        <v>34</v>
      </c>
      <c r="I71" s="5" t="s">
        <v>35</v>
      </c>
      <c r="J71" s="5" t="s">
        <v>21</v>
      </c>
      <c r="K71" s="5">
        <v>2</v>
      </c>
      <c r="L71" s="12">
        <v>1252</v>
      </c>
      <c r="M71" s="15">
        <v>2295</v>
      </c>
      <c r="N71" s="9">
        <v>2086</v>
      </c>
      <c r="O71" s="9">
        <v>2504</v>
      </c>
      <c r="P71" s="9">
        <v>4590</v>
      </c>
    </row>
    <row r="72" spans="1:16" x14ac:dyDescent="0.3">
      <c r="A72" s="5">
        <v>261765</v>
      </c>
      <c r="B72" s="6">
        <v>44553</v>
      </c>
      <c r="C72" s="5">
        <v>39</v>
      </c>
      <c r="D72" s="5" t="s">
        <v>49</v>
      </c>
      <c r="E72" s="5" t="s">
        <v>16</v>
      </c>
      <c r="F72" s="5" t="s">
        <v>55</v>
      </c>
      <c r="G72" s="5" t="s">
        <v>91</v>
      </c>
      <c r="H72" s="5" t="s">
        <v>34</v>
      </c>
      <c r="I72" s="5" t="s">
        <v>35</v>
      </c>
      <c r="J72" s="5" t="s">
        <v>227</v>
      </c>
      <c r="K72" s="5">
        <v>1</v>
      </c>
      <c r="L72" s="12">
        <v>1266</v>
      </c>
      <c r="M72" s="15">
        <v>2320</v>
      </c>
      <c r="N72" s="9">
        <v>1054</v>
      </c>
      <c r="O72" s="9">
        <v>1266</v>
      </c>
      <c r="P72" s="9">
        <v>2320</v>
      </c>
    </row>
    <row r="73" spans="1:16" x14ac:dyDescent="0.3">
      <c r="A73" s="5">
        <v>261766</v>
      </c>
      <c r="B73" s="6">
        <v>44554</v>
      </c>
      <c r="C73" s="5">
        <v>33</v>
      </c>
      <c r="D73" s="5" t="s">
        <v>68</v>
      </c>
      <c r="E73" s="5" t="s">
        <v>16</v>
      </c>
      <c r="F73" s="5" t="s">
        <v>99</v>
      </c>
      <c r="G73" s="5" t="s">
        <v>127</v>
      </c>
      <c r="H73" s="5" t="s">
        <v>34</v>
      </c>
      <c r="I73" s="5" t="s">
        <v>35</v>
      </c>
      <c r="J73" s="5" t="s">
        <v>30</v>
      </c>
      <c r="K73" s="5">
        <v>4</v>
      </c>
      <c r="L73" s="12">
        <v>1898</v>
      </c>
      <c r="M73" s="15">
        <v>3375</v>
      </c>
      <c r="N73" s="9">
        <v>5908</v>
      </c>
      <c r="O73" s="9">
        <v>7592</v>
      </c>
      <c r="P73" s="9">
        <v>13500</v>
      </c>
    </row>
    <row r="74" spans="1:16" x14ac:dyDescent="0.3">
      <c r="A74" s="5">
        <v>261767</v>
      </c>
      <c r="B74" s="6">
        <v>44554</v>
      </c>
      <c r="C74" s="5">
        <v>0</v>
      </c>
      <c r="D74" s="5" t="s">
        <v>49</v>
      </c>
      <c r="E74" s="5" t="s">
        <v>31</v>
      </c>
      <c r="F74" s="5" t="s">
        <v>99</v>
      </c>
      <c r="G74" s="5" t="s">
        <v>18</v>
      </c>
      <c r="H74" s="5" t="s">
        <v>34</v>
      </c>
      <c r="I74" s="5" t="s">
        <v>35</v>
      </c>
      <c r="J74" s="5" t="s">
        <v>21</v>
      </c>
      <c r="K74" s="5">
        <v>4</v>
      </c>
      <c r="L74" s="12">
        <v>1252</v>
      </c>
      <c r="M74" s="15">
        <v>2295</v>
      </c>
      <c r="N74" s="9">
        <v>4172</v>
      </c>
      <c r="O74" s="9">
        <v>5008</v>
      </c>
      <c r="P74" s="9">
        <v>9180</v>
      </c>
    </row>
    <row r="75" spans="1:16" x14ac:dyDescent="0.3">
      <c r="A75" s="5">
        <v>261768</v>
      </c>
      <c r="B75" s="6">
        <v>44555</v>
      </c>
      <c r="C75" s="5">
        <v>29</v>
      </c>
      <c r="D75" s="5" t="s">
        <v>49</v>
      </c>
      <c r="E75" s="5" t="s">
        <v>31</v>
      </c>
      <c r="F75" s="5" t="s">
        <v>214</v>
      </c>
      <c r="G75" s="5" t="s">
        <v>217</v>
      </c>
      <c r="H75" s="5" t="s">
        <v>34</v>
      </c>
      <c r="I75" s="5" t="s">
        <v>35</v>
      </c>
      <c r="J75" s="5" t="s">
        <v>232</v>
      </c>
      <c r="K75" s="5">
        <v>3</v>
      </c>
      <c r="L75" s="12">
        <v>295</v>
      </c>
      <c r="M75" s="15">
        <v>540</v>
      </c>
      <c r="N75" s="9">
        <v>735</v>
      </c>
      <c r="O75" s="9">
        <v>885</v>
      </c>
      <c r="P75" s="9">
        <v>1620</v>
      </c>
    </row>
    <row r="76" spans="1:16" x14ac:dyDescent="0.3">
      <c r="A76" s="5">
        <v>261769</v>
      </c>
      <c r="B76" s="6">
        <v>44555</v>
      </c>
      <c r="C76" s="5">
        <v>35</v>
      </c>
      <c r="D76" s="5" t="s">
        <v>49</v>
      </c>
      <c r="E76" s="5" t="s">
        <v>16</v>
      </c>
      <c r="F76" s="5" t="s">
        <v>99</v>
      </c>
      <c r="G76" s="5" t="s">
        <v>18</v>
      </c>
      <c r="H76" s="5" t="s">
        <v>34</v>
      </c>
      <c r="I76" s="5" t="s">
        <v>35</v>
      </c>
      <c r="J76" s="5" t="s">
        <v>227</v>
      </c>
      <c r="K76" s="5">
        <v>1</v>
      </c>
      <c r="L76" s="12">
        <v>1266</v>
      </c>
      <c r="M76" s="15">
        <v>2320</v>
      </c>
      <c r="N76" s="9">
        <v>1054</v>
      </c>
      <c r="O76" s="9">
        <v>1266</v>
      </c>
      <c r="P76" s="9">
        <v>2320</v>
      </c>
    </row>
    <row r="77" spans="1:16" x14ac:dyDescent="0.3">
      <c r="A77" s="5">
        <v>261770</v>
      </c>
      <c r="B77" s="6">
        <v>44556</v>
      </c>
      <c r="C77" s="5">
        <v>35</v>
      </c>
      <c r="D77" s="5" t="s">
        <v>49</v>
      </c>
      <c r="E77" s="5" t="s">
        <v>31</v>
      </c>
      <c r="F77" s="5" t="s">
        <v>99</v>
      </c>
      <c r="G77" s="5" t="s">
        <v>127</v>
      </c>
      <c r="H77" s="5" t="s">
        <v>34</v>
      </c>
      <c r="I77" s="5" t="s">
        <v>35</v>
      </c>
      <c r="J77" s="5" t="s">
        <v>227</v>
      </c>
      <c r="K77" s="5">
        <v>1</v>
      </c>
      <c r="L77" s="12">
        <v>1266</v>
      </c>
      <c r="M77" s="15">
        <v>2320</v>
      </c>
      <c r="N77" s="9">
        <v>1054</v>
      </c>
      <c r="O77" s="9">
        <v>1266</v>
      </c>
      <c r="P77" s="9">
        <v>2320</v>
      </c>
    </row>
    <row r="78" spans="1:16" x14ac:dyDescent="0.3">
      <c r="A78" s="5">
        <v>261771</v>
      </c>
      <c r="B78" s="6">
        <v>44556</v>
      </c>
      <c r="C78" s="5">
        <v>26</v>
      </c>
      <c r="D78" s="5" t="s">
        <v>68</v>
      </c>
      <c r="E78" s="5" t="s">
        <v>31</v>
      </c>
      <c r="F78" s="5" t="s">
        <v>208</v>
      </c>
      <c r="G78" s="5" t="s">
        <v>234</v>
      </c>
      <c r="H78" s="5" t="s">
        <v>34</v>
      </c>
      <c r="I78" s="5" t="s">
        <v>35</v>
      </c>
      <c r="J78" s="5" t="s">
        <v>227</v>
      </c>
      <c r="K78" s="5">
        <v>3</v>
      </c>
      <c r="L78" s="12">
        <v>1266</v>
      </c>
      <c r="M78" s="15">
        <v>2320</v>
      </c>
      <c r="N78" s="9">
        <v>3162</v>
      </c>
      <c r="O78" s="9">
        <v>3798</v>
      </c>
      <c r="P78" s="9">
        <v>6960</v>
      </c>
    </row>
    <row r="79" spans="1:16" x14ac:dyDescent="0.3">
      <c r="A79" s="5">
        <v>261782</v>
      </c>
      <c r="B79" s="18">
        <v>0</v>
      </c>
      <c r="C79" s="5">
        <v>38</v>
      </c>
      <c r="D79" s="5" t="s">
        <v>49</v>
      </c>
      <c r="E79" s="5" t="s">
        <v>31</v>
      </c>
      <c r="F79" s="5" t="s">
        <v>99</v>
      </c>
      <c r="G79" s="5" t="s">
        <v>18</v>
      </c>
      <c r="H79" s="5" t="s">
        <v>34</v>
      </c>
      <c r="I79" s="5" t="s">
        <v>35</v>
      </c>
      <c r="J79" s="5" t="s">
        <v>225</v>
      </c>
      <c r="K79" s="5">
        <v>4</v>
      </c>
      <c r="L79" s="12">
        <v>1252</v>
      </c>
      <c r="M79" s="15">
        <v>2295</v>
      </c>
      <c r="N79" s="9">
        <v>4172</v>
      </c>
      <c r="O79" s="9">
        <v>5008</v>
      </c>
      <c r="P79" s="9">
        <v>9180</v>
      </c>
    </row>
  </sheetData>
  <sortState xmlns:xlrd2="http://schemas.microsoft.com/office/spreadsheetml/2017/richdata2" ref="A2:A80">
    <sortCondition ref="A2:A80"/>
  </sortState>
  <conditionalFormatting sqref="A1:A1048576"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A161-F952-4056-9105-65E499C9844F}">
  <dimension ref="A1:P65"/>
  <sheetViews>
    <sheetView topLeftCell="A13" zoomScale="86" workbookViewId="0">
      <selection activeCell="E34" sqref="E34:G35"/>
    </sheetView>
  </sheetViews>
  <sheetFormatPr defaultRowHeight="14.4" x14ac:dyDescent="0.3"/>
  <cols>
    <col min="1" max="1" width="15.77734375" bestFit="1" customWidth="1"/>
    <col min="2" max="2" width="21.109375" style="19" bestFit="1" customWidth="1"/>
    <col min="3" max="3" width="14.5546875" bestFit="1" customWidth="1"/>
    <col min="4" max="4" width="15.88671875" bestFit="1" customWidth="1"/>
    <col min="5" max="5" width="18.5546875" bestFit="1" customWidth="1"/>
    <col min="6" max="6" width="13.21875" style="10" bestFit="1" customWidth="1"/>
    <col min="7" max="7" width="13.88671875" style="10" bestFit="1" customWidth="1"/>
    <col min="8" max="9" width="10.44140625" style="10" bestFit="1" customWidth="1"/>
    <col min="10" max="10" width="11.6640625" style="10" bestFit="1" customWidth="1"/>
    <col min="11" max="11" width="23.88671875" bestFit="1" customWidth="1"/>
    <col min="12" max="12" width="13.33203125" bestFit="1" customWidth="1"/>
    <col min="13" max="13" width="13.88671875" bestFit="1" customWidth="1"/>
    <col min="16" max="16" width="11.88671875" bestFit="1" customWidth="1"/>
  </cols>
  <sheetData>
    <row r="1" spans="1:11" x14ac:dyDescent="0.3">
      <c r="A1" s="29" t="s">
        <v>239</v>
      </c>
      <c r="B1" s="29"/>
      <c r="C1" s="29"/>
      <c r="D1" s="29"/>
      <c r="E1" s="29"/>
      <c r="F1" s="29"/>
      <c r="G1" s="29"/>
      <c r="H1" s="29"/>
      <c r="I1" s="29"/>
      <c r="J1" s="29"/>
      <c r="K1" s="21" t="s">
        <v>242</v>
      </c>
    </row>
    <row r="2" spans="1:11" ht="18" x14ac:dyDescent="0.35">
      <c r="A2" s="7" t="s">
        <v>0</v>
      </c>
      <c r="B2" s="20" t="s">
        <v>4</v>
      </c>
      <c r="C2" s="7" t="s">
        <v>5</v>
      </c>
      <c r="D2" s="7" t="s">
        <v>224</v>
      </c>
      <c r="E2" s="7" t="s">
        <v>10</v>
      </c>
      <c r="F2" s="11" t="s">
        <v>11</v>
      </c>
      <c r="G2" s="14" t="s">
        <v>12</v>
      </c>
      <c r="H2" s="8" t="s">
        <v>13</v>
      </c>
      <c r="I2" s="8" t="s">
        <v>14</v>
      </c>
      <c r="J2" s="8" t="s">
        <v>15</v>
      </c>
      <c r="K2" s="8" t="s">
        <v>241</v>
      </c>
    </row>
    <row r="3" spans="1:11" x14ac:dyDescent="0.3">
      <c r="A3" s="5">
        <v>261698</v>
      </c>
      <c r="B3" s="22" t="str">
        <f>VLOOKUP($A3,'bike_sales_CLEAN '!A1:P79,5,FALSE)</f>
        <v>Female</v>
      </c>
      <c r="C3" s="5" t="str" cm="1">
        <f t="array" ref="C3:J3">VLOOKUP($A3,'bike_sales_CLEAN '!$A$1:$P$79,{6,7,11,12,13,14,15,16},FALSE)</f>
        <v>Australia</v>
      </c>
      <c r="D3" s="5" t="str">
        <v>New South Wales</v>
      </c>
      <c r="E3" s="5">
        <v>1</v>
      </c>
      <c r="F3" s="9">
        <v>420</v>
      </c>
      <c r="G3" s="9">
        <v>769</v>
      </c>
      <c r="H3" s="9">
        <v>349</v>
      </c>
      <c r="I3" s="9">
        <v>420</v>
      </c>
      <c r="J3" s="9">
        <v>769</v>
      </c>
      <c r="K3" s="5" t="str" cm="1">
        <f t="array" ref="K3">_xlfn.IFS(J3&lt;1000,"LOW",J3&lt;5000,"AVERAGE",J3&lt;10000,"HIGH",J3&gt;10000,"VERY HIGH")</f>
        <v>LOW</v>
      </c>
    </row>
    <row r="4" spans="1:11" x14ac:dyDescent="0.3">
      <c r="A4" s="5">
        <v>261700</v>
      </c>
      <c r="B4" s="22" t="str">
        <f>VLOOKUP($A4,'bike_sales_CLEAN '!A2:P80,5,FALSE)</f>
        <v>Female</v>
      </c>
      <c r="C4" s="5" t="str" cm="1">
        <f t="array" ref="C4:J4">VLOOKUP($A4,'bike_sales_CLEAN '!$A$1:$P$79,{6,7,11,12,13,14,15,16},FALSE)</f>
        <v>United Kingdom</v>
      </c>
      <c r="D4" s="5" t="str">
        <v>England</v>
      </c>
      <c r="E4" s="5">
        <v>1</v>
      </c>
      <c r="F4" s="9">
        <v>1252</v>
      </c>
      <c r="G4" s="9">
        <v>2295</v>
      </c>
      <c r="H4" s="9">
        <v>1043</v>
      </c>
      <c r="I4" s="9">
        <v>1252</v>
      </c>
      <c r="J4" s="9">
        <v>2295</v>
      </c>
      <c r="K4" s="5" t="str" cm="1">
        <f t="array" ref="K4">_xlfn.IFS(J4&lt;1000,"LOW",J4&lt;5000,"AVERAGE",J4&lt;10000,"HIGH",J4&gt;10000,"VERY HIGH")</f>
        <v>AVERAGE</v>
      </c>
    </row>
    <row r="5" spans="1:11" x14ac:dyDescent="0.3">
      <c r="A5" s="5">
        <v>261714</v>
      </c>
      <c r="B5" s="22" t="str">
        <f>VLOOKUP($A5,'bike_sales_CLEAN '!A3:P81,5,FALSE)</f>
        <v>Female</v>
      </c>
      <c r="C5" s="5" t="str" cm="1">
        <f t="array" ref="C5:J5">VLOOKUP($A5,'bike_sales_CLEAN '!$A$1:$P$79,{6,7,11,12,13,14,15,16},FALSE)</f>
        <v>Canada</v>
      </c>
      <c r="D5" s="5" t="str">
        <v>British Columbia</v>
      </c>
      <c r="E5" s="5">
        <v>4</v>
      </c>
      <c r="F5" s="9">
        <v>1266</v>
      </c>
      <c r="G5" s="9">
        <v>2320</v>
      </c>
      <c r="H5" s="9">
        <v>4216</v>
      </c>
      <c r="I5" s="9">
        <v>5064</v>
      </c>
      <c r="J5" s="9">
        <v>9280</v>
      </c>
      <c r="K5" s="5" t="str" cm="1">
        <f t="array" ref="K5">_xlfn.IFS(J5&lt;1000,"LOW",J5&lt;5000,"AVERAGE",J5&lt;10000,"HIGH",J5&gt;10000,"VERY HIGH")</f>
        <v>HIGH</v>
      </c>
    </row>
    <row r="6" spans="1:11" x14ac:dyDescent="0.3">
      <c r="A6" s="5">
        <v>261720</v>
      </c>
      <c r="B6" s="22" t="str">
        <f>VLOOKUP($A6,'bike_sales_CLEAN '!A4:P82,5,FALSE)</f>
        <v>Male</v>
      </c>
      <c r="C6" s="5" t="str" cm="1">
        <f t="array" ref="C6:J6">VLOOKUP($A6,'bike_sales_CLEAN '!$A$1:$P$79,{6,7,11,12,13,14,15,16},FALSE)</f>
        <v>Australia</v>
      </c>
      <c r="D6" s="5" t="str">
        <v>New South Wales</v>
      </c>
      <c r="E6" s="5">
        <v>2</v>
      </c>
      <c r="F6" s="9">
        <v>1252</v>
      </c>
      <c r="G6" s="9">
        <v>2295</v>
      </c>
      <c r="H6" s="9">
        <v>2086</v>
      </c>
      <c r="I6" s="9">
        <v>2504</v>
      </c>
      <c r="J6" s="9">
        <v>4590</v>
      </c>
      <c r="K6" s="5" t="str" cm="1">
        <f t="array" ref="K6">_xlfn.IFS(J6&lt;1000,"LOW",J6&lt;5000,"AVERAGE",J6&lt;10000,"HIGH",J6&gt;10000,"VERY HIGH")</f>
        <v>AVERAGE</v>
      </c>
    </row>
    <row r="7" spans="1:11" x14ac:dyDescent="0.3">
      <c r="A7" s="5">
        <v>261725</v>
      </c>
      <c r="B7" s="22" t="str">
        <f>VLOOKUP($A7,'bike_sales_CLEAN '!A5:P83,5,FALSE)</f>
        <v>Female</v>
      </c>
      <c r="C7" s="5" t="str" cm="1">
        <f t="array" ref="C7:J7">VLOOKUP($A7,'bike_sales_CLEAN '!$A$1:$P$79,{6,7,11,12,13,14,15,16},FALSE)</f>
        <v>France</v>
      </c>
      <c r="D7" s="5" t="str">
        <v>Seine (Paris)</v>
      </c>
      <c r="E7" s="5">
        <v>3</v>
      </c>
      <c r="F7" s="9">
        <v>1252</v>
      </c>
      <c r="G7" s="9">
        <v>2295</v>
      </c>
      <c r="H7" s="9">
        <v>3129</v>
      </c>
      <c r="I7" s="9">
        <v>3756</v>
      </c>
      <c r="J7" s="9">
        <v>6885</v>
      </c>
      <c r="K7" s="5" t="str" cm="1">
        <f t="array" ref="K7">_xlfn.IFS(J7&lt;1000,"LOW",J7&lt;5000,"AVERAGE",J7&lt;10000,"HIGH",J7&gt;10000,"VERY HIGH")</f>
        <v>HIGH</v>
      </c>
    </row>
    <row r="8" spans="1:11" x14ac:dyDescent="0.3">
      <c r="A8" s="5">
        <v>261730</v>
      </c>
      <c r="B8" s="22" t="str">
        <f>VLOOKUP($A8,'bike_sales_CLEAN '!A6:P84,5,FALSE)</f>
        <v>Female</v>
      </c>
      <c r="C8" s="5" t="str" cm="1">
        <f t="array" ref="C8:J8">VLOOKUP($A8,'bike_sales_CLEAN '!$A$1:$P$79,{6,7,11,12,13,14,15,16},FALSE)</f>
        <v>Australia</v>
      </c>
      <c r="D8" s="5" t="str">
        <v>New South Wales</v>
      </c>
      <c r="E8" s="5">
        <v>4</v>
      </c>
      <c r="F8" s="9">
        <v>1266</v>
      </c>
      <c r="G8" s="9">
        <v>2320</v>
      </c>
      <c r="H8" s="9">
        <v>4216</v>
      </c>
      <c r="I8" s="9">
        <v>5064</v>
      </c>
      <c r="J8" s="9">
        <v>9280</v>
      </c>
      <c r="K8" s="5" t="str" cm="1">
        <f t="array" ref="K8">_xlfn.IFS(J8&lt;1000,"LOW",J8&lt;5000,"AVERAGE",J8&lt;10000,"HIGH",J8&gt;10000,"VERY HIGH")</f>
        <v>HIGH</v>
      </c>
    </row>
    <row r="9" spans="1:11" x14ac:dyDescent="0.3">
      <c r="A9" s="5">
        <v>261733</v>
      </c>
      <c r="B9" s="22" t="str">
        <f>VLOOKUP($A9,'bike_sales_CLEAN '!A7:P85,5,FALSE)</f>
        <v>Female</v>
      </c>
      <c r="C9" s="5" t="str" cm="1">
        <f t="array" ref="C9:J9">VLOOKUP($A9,'bike_sales_CLEAN '!$A$1:$P$79,{6,7,11,12,13,14,15,16},FALSE)</f>
        <v>Australia</v>
      </c>
      <c r="D9" s="5" t="str">
        <v>Victoria</v>
      </c>
      <c r="E9" s="5">
        <v>0</v>
      </c>
      <c r="F9" s="9">
        <v>1266</v>
      </c>
      <c r="G9" s="9">
        <v>2320</v>
      </c>
      <c r="H9" s="9">
        <v>1054</v>
      </c>
      <c r="I9" s="9">
        <v>1266</v>
      </c>
      <c r="J9" s="9">
        <v>2320</v>
      </c>
      <c r="K9" s="5" t="str" cm="1">
        <f t="array" ref="K9">_xlfn.IFS(J9&lt;1000,"LOW",J9&lt;5000,"AVERAGE",J9&lt;10000,"HIGH",J9&gt;10000,"VERY HIGH")</f>
        <v>AVERAGE</v>
      </c>
    </row>
    <row r="10" spans="1:11" x14ac:dyDescent="0.3">
      <c r="A10" s="5">
        <v>261740</v>
      </c>
      <c r="B10" s="22" t="str">
        <f>VLOOKUP($A10,'bike_sales_CLEAN '!A8:P86,5,FALSE)</f>
        <v>Male</v>
      </c>
      <c r="C10" s="5" t="str" cm="1">
        <f t="array" ref="C10:J10">VLOOKUP($A10,'bike_sales_CLEAN '!$A$1:$P$79,{6,7,11,12,13,14,15,16},FALSE)</f>
        <v>United States</v>
      </c>
      <c r="D10" s="5" t="str">
        <v>California</v>
      </c>
      <c r="E10" s="5">
        <v>1</v>
      </c>
      <c r="F10" s="9">
        <v>1252</v>
      </c>
      <c r="G10" s="9">
        <v>2295</v>
      </c>
      <c r="H10" s="9">
        <v>1043</v>
      </c>
      <c r="I10" s="9">
        <v>1252</v>
      </c>
      <c r="J10" s="9">
        <v>2295</v>
      </c>
      <c r="K10" s="5" t="str" cm="1">
        <f t="array" ref="K10">_xlfn.IFS(J10&lt;1000,"LOW",J10&lt;5000,"AVERAGE",J10&lt;10000,"HIGH",J10&gt;10000,"VERY HIGH")</f>
        <v>AVERAGE</v>
      </c>
    </row>
    <row r="11" spans="1:11" x14ac:dyDescent="0.3">
      <c r="A11" s="5">
        <v>261766</v>
      </c>
      <c r="B11" s="22" t="str">
        <f>VLOOKUP($A11,'bike_sales_CLEAN '!A9:P87,5,FALSE)</f>
        <v>Female</v>
      </c>
      <c r="C11" s="5" t="str" cm="1">
        <f t="array" ref="C11:J11">VLOOKUP($A11,'bike_sales_CLEAN '!$A$1:$P$79,{6,7,11,12,13,14,15,16},FALSE)</f>
        <v>Australia</v>
      </c>
      <c r="D11" s="5" t="str">
        <v>Victoria</v>
      </c>
      <c r="E11" s="5">
        <v>4</v>
      </c>
      <c r="F11" s="9">
        <v>1898</v>
      </c>
      <c r="G11" s="9">
        <v>3375</v>
      </c>
      <c r="H11" s="9">
        <v>5908</v>
      </c>
      <c r="I11" s="9">
        <v>7592</v>
      </c>
      <c r="J11" s="9">
        <v>13500</v>
      </c>
      <c r="K11" s="5" t="str" cm="1">
        <f t="array" ref="K11">_xlfn.IFS(J11&lt;1000,"LOW",J11&lt;5000,"AVERAGE",J11&lt;10000,"HIGH",J11&gt;10000,"VERY HIGH")</f>
        <v>VERY HIGH</v>
      </c>
    </row>
    <row r="15" spans="1:11" ht="15.6" x14ac:dyDescent="0.3">
      <c r="A15" s="30" t="s">
        <v>240</v>
      </c>
      <c r="B15" s="30"/>
      <c r="C15" s="30"/>
      <c r="D15" s="30"/>
      <c r="E15" s="30"/>
      <c r="F15" s="30"/>
      <c r="G15" s="30"/>
      <c r="H15" s="30"/>
      <c r="I15" s="30"/>
      <c r="J15" s="30"/>
      <c r="K15" s="21" t="s">
        <v>243</v>
      </c>
    </row>
    <row r="16" spans="1:11" ht="18" x14ac:dyDescent="0.35">
      <c r="A16" s="7" t="s">
        <v>0</v>
      </c>
      <c r="B16" s="20" t="s">
        <v>4</v>
      </c>
      <c r="C16" s="7" t="s">
        <v>5</v>
      </c>
      <c r="D16" s="7" t="s">
        <v>224</v>
      </c>
      <c r="E16" s="7" t="s">
        <v>10</v>
      </c>
      <c r="F16" s="11" t="s">
        <v>11</v>
      </c>
      <c r="G16" s="14" t="s">
        <v>12</v>
      </c>
      <c r="H16" s="8" t="s">
        <v>13</v>
      </c>
      <c r="I16" s="8" t="s">
        <v>14</v>
      </c>
      <c r="J16" s="8" t="s">
        <v>15</v>
      </c>
      <c r="K16" s="8" t="s">
        <v>244</v>
      </c>
    </row>
    <row r="17" spans="1:11" x14ac:dyDescent="0.3">
      <c r="A17" s="5">
        <v>261695</v>
      </c>
      <c r="B17" s="22" t="str">
        <f>_xlfn.XLOOKUP($A17,'bike_sales_CLEAN '!A:A,'bike_sales_CLEAN '!E:E)</f>
        <v>Female</v>
      </c>
      <c r="C17" s="5" t="str">
        <f>_xlfn.XLOOKUP($A17,'bike_sales_CLEAN '!A:A,'bike_sales_CLEAN '!F:F)</f>
        <v>United States</v>
      </c>
      <c r="D17" s="5" t="str">
        <f>_xlfn.XLOOKUP($A17,'bike_sales_CLEAN '!A:A,'bike_sales_CLEAN '!G:G)</f>
        <v>California</v>
      </c>
      <c r="E17" s="5" cm="1">
        <f t="array" ref="E17:J17">_xlfn.XLOOKUP($A17,'bike_sales_CLEAN '!$A:$A,'bike_sales_CLEAN '!$K:$P)</f>
        <v>4</v>
      </c>
      <c r="F17" s="9">
        <v>1252</v>
      </c>
      <c r="G17" s="9">
        <v>2295</v>
      </c>
      <c r="H17" s="9">
        <v>4172</v>
      </c>
      <c r="I17" s="9">
        <v>5008</v>
      </c>
      <c r="J17" s="9">
        <v>9180</v>
      </c>
      <c r="K17" s="5" t="str">
        <f>IF(H17&gt;1000,"GOOD","NOT GOOD")</f>
        <v>GOOD</v>
      </c>
    </row>
    <row r="18" spans="1:11" x14ac:dyDescent="0.3">
      <c r="A18" s="5">
        <v>261699</v>
      </c>
      <c r="B18" s="22" t="str">
        <f>_xlfn.XLOOKUP($A18,'bike_sales_CLEAN '!A:A,'bike_sales_CLEAN '!E:E)</f>
        <v>Female</v>
      </c>
      <c r="C18" s="5" t="str">
        <f>_xlfn.XLOOKUP($A18,'bike_sales_CLEAN '!A:A,'bike_sales_CLEAN '!F:F)</f>
        <v>United States</v>
      </c>
      <c r="D18" s="5" t="str">
        <f>_xlfn.XLOOKUP($A18,'bike_sales_CLEAN '!A:A,'bike_sales_CLEAN '!G:G)</f>
        <v>California</v>
      </c>
      <c r="E18" s="5" cm="1">
        <f t="array" ref="E18:J18">_xlfn.XLOOKUP($A18,'bike_sales_CLEAN '!$A:$A,'bike_sales_CLEAN '!$K:$P)</f>
        <v>0</v>
      </c>
      <c r="F18" s="9">
        <v>0</v>
      </c>
      <c r="G18" s="9">
        <v>2295</v>
      </c>
      <c r="H18" s="9">
        <v>2086</v>
      </c>
      <c r="I18" s="9">
        <v>0</v>
      </c>
      <c r="J18" s="9">
        <v>4590</v>
      </c>
      <c r="K18" s="5" t="str">
        <f t="shared" ref="K18:K25" si="0">IF(H18&gt;1000,"GOOD","NOT GOOD")</f>
        <v>GOOD</v>
      </c>
    </row>
    <row r="19" spans="1:11" x14ac:dyDescent="0.3">
      <c r="A19" s="5">
        <v>261705</v>
      </c>
      <c r="B19" s="22" t="str">
        <f>_xlfn.XLOOKUP($A19,'bike_sales_CLEAN '!A:A,'bike_sales_CLEAN '!E:E)</f>
        <v>Female</v>
      </c>
      <c r="C19" s="5" t="str">
        <f>_xlfn.XLOOKUP($A19,'bike_sales_CLEAN '!A:A,'bike_sales_CLEAN '!F:F)</f>
        <v>Australia</v>
      </c>
      <c r="D19" s="5" t="str">
        <f>_xlfn.XLOOKUP($A19,'bike_sales_CLEAN '!A:A,'bike_sales_CLEAN '!G:G)</f>
        <v>Queensland</v>
      </c>
      <c r="E19" s="5" cm="1">
        <f t="array" ref="E19:J19">_xlfn.XLOOKUP($A19,'bike_sales_CLEAN '!$A:$A,'bike_sales_CLEAN '!$K:$P)</f>
        <v>1</v>
      </c>
      <c r="F19" s="9">
        <v>1266</v>
      </c>
      <c r="G19" s="9">
        <v>2320</v>
      </c>
      <c r="H19" s="9">
        <v>1054</v>
      </c>
      <c r="I19" s="9">
        <v>1266</v>
      </c>
      <c r="J19" s="9">
        <v>2320</v>
      </c>
      <c r="K19" s="5" t="str">
        <f t="shared" si="0"/>
        <v>GOOD</v>
      </c>
    </row>
    <row r="20" spans="1:11" x14ac:dyDescent="0.3">
      <c r="A20" s="5">
        <v>261711</v>
      </c>
      <c r="B20" s="22" t="str">
        <f>_xlfn.XLOOKUP($A20,'bike_sales_CLEAN '!A:A,'bike_sales_CLEAN '!E:E)</f>
        <v>Male</v>
      </c>
      <c r="C20" s="5" t="str">
        <f>_xlfn.XLOOKUP($A20,'bike_sales_CLEAN '!A:A,'bike_sales_CLEAN '!F:F)</f>
        <v>United States</v>
      </c>
      <c r="D20" s="5" t="str">
        <f>_xlfn.XLOOKUP($A20,'bike_sales_CLEAN '!A:A,'bike_sales_CLEAN '!G:G)</f>
        <v>California</v>
      </c>
      <c r="E20" s="5" cm="1">
        <f t="array" ref="E20:J20">_xlfn.XLOOKUP($A20,'bike_sales_CLEAN '!$A:$A,'bike_sales_CLEAN '!$K:$P)</f>
        <v>4</v>
      </c>
      <c r="F20" s="9">
        <v>420</v>
      </c>
      <c r="G20" s="9">
        <v>769</v>
      </c>
      <c r="H20" s="9">
        <v>1396</v>
      </c>
      <c r="I20" s="9">
        <v>1680</v>
      </c>
      <c r="J20" s="9">
        <v>3076</v>
      </c>
      <c r="K20" s="5" t="str">
        <f t="shared" si="0"/>
        <v>GOOD</v>
      </c>
    </row>
    <row r="21" spans="1:11" x14ac:dyDescent="0.3">
      <c r="A21" s="5">
        <v>261719</v>
      </c>
      <c r="B21" s="22" t="str">
        <f>_xlfn.XLOOKUP($A21,'bike_sales_CLEAN '!A:A,'bike_sales_CLEAN '!E:E)</f>
        <v>Female</v>
      </c>
      <c r="C21" s="5" t="str">
        <f>_xlfn.XLOOKUP($A21,'bike_sales_CLEAN '!A:A,'bike_sales_CLEAN '!F:F)</f>
        <v>United States</v>
      </c>
      <c r="D21" s="5" t="str">
        <f>_xlfn.XLOOKUP($A21,'bike_sales_CLEAN '!A:A,'bike_sales_CLEAN '!G:G)</f>
        <v>California</v>
      </c>
      <c r="E21" s="5" cm="1">
        <f t="array" ref="E21:J21">_xlfn.XLOOKUP($A21,'bike_sales_CLEAN '!$A:$A,'bike_sales_CLEAN '!$K:$P)</f>
        <v>2</v>
      </c>
      <c r="F21" s="9">
        <v>1252</v>
      </c>
      <c r="G21" s="9">
        <v>2295</v>
      </c>
      <c r="H21" s="9">
        <v>2086</v>
      </c>
      <c r="I21" s="9">
        <v>2504</v>
      </c>
      <c r="J21" s="9">
        <v>4590</v>
      </c>
      <c r="K21" s="5" t="str">
        <f t="shared" si="0"/>
        <v>GOOD</v>
      </c>
    </row>
    <row r="22" spans="1:11" ht="28.8" x14ac:dyDescent="0.3">
      <c r="A22" s="23">
        <v>261750</v>
      </c>
      <c r="B22" s="24" t="str">
        <f>_xlfn.XLOOKUP($A22,'bike_sales_CLEAN '!A:A,'bike_sales_CLEAN '!E:E)</f>
        <v>Female</v>
      </c>
      <c r="C22" s="25" t="str">
        <f>_xlfn.XLOOKUP($A22,'bike_sales_CLEAN '!A:A,'bike_sales_CLEAN '!F:F)</f>
        <v>Germany</v>
      </c>
      <c r="D22" s="26" t="str">
        <f>_xlfn.XLOOKUP($A22,'bike_sales_CLEAN '!A:A,'bike_sales_CLEAN '!G:G)</f>
        <v>Nordrhein-Westfalen</v>
      </c>
      <c r="E22" s="5" cm="1">
        <f t="array" ref="E22:J22">_xlfn.XLOOKUP($A22,'bike_sales_CLEAN '!$A:$A,'bike_sales_CLEAN '!$K:$P)</f>
        <v>4</v>
      </c>
      <c r="F22" s="9">
        <v>1266</v>
      </c>
      <c r="G22" s="9">
        <v>2320</v>
      </c>
      <c r="H22" s="9">
        <v>4216</v>
      </c>
      <c r="I22" s="9">
        <v>5064</v>
      </c>
      <c r="J22" s="9">
        <v>9280</v>
      </c>
      <c r="K22" s="5" t="str">
        <f t="shared" si="0"/>
        <v>GOOD</v>
      </c>
    </row>
    <row r="23" spans="1:11" x14ac:dyDescent="0.3">
      <c r="A23" s="5">
        <v>261755</v>
      </c>
      <c r="B23" s="22" t="str">
        <f>_xlfn.XLOOKUP($A23,'bike_sales_CLEAN '!A:A,'bike_sales_CLEAN '!E:E)</f>
        <v>Male</v>
      </c>
      <c r="C23" s="5" t="str">
        <f>_xlfn.XLOOKUP($A23,'bike_sales_CLEAN '!A:A,'bike_sales_CLEAN '!F:F)</f>
        <v>United States</v>
      </c>
      <c r="D23" s="5" t="str">
        <f>_xlfn.XLOOKUP($A23,'bike_sales_CLEAN '!A:A,'bike_sales_CLEAN '!G:G)</f>
        <v>Washington</v>
      </c>
      <c r="E23" s="5" cm="1">
        <f t="array" ref="E23:J23">_xlfn.XLOOKUP($A23,'bike_sales_CLEAN '!$A:$A,'bike_sales_CLEAN '!$K:$P)</f>
        <v>1</v>
      </c>
      <c r="F23" s="9">
        <v>1266</v>
      </c>
      <c r="G23" s="9">
        <v>2320</v>
      </c>
      <c r="H23" s="9">
        <v>1054</v>
      </c>
      <c r="I23" s="9">
        <v>1266</v>
      </c>
      <c r="J23" s="9">
        <v>2320</v>
      </c>
      <c r="K23" s="5" t="str">
        <f t="shared" si="0"/>
        <v>GOOD</v>
      </c>
    </row>
    <row r="24" spans="1:11" x14ac:dyDescent="0.3">
      <c r="A24" s="5">
        <v>261761</v>
      </c>
      <c r="B24" s="22" t="str">
        <f>_xlfn.XLOOKUP($A24,'bike_sales_CLEAN '!A:A,'bike_sales_CLEAN '!E:E)</f>
        <v>Female</v>
      </c>
      <c r="C24" s="5" t="str">
        <f>_xlfn.XLOOKUP($A24,'bike_sales_CLEAN '!A:A,'bike_sales_CLEAN '!F:F)</f>
        <v>United States</v>
      </c>
      <c r="D24" s="5" t="str">
        <f>_xlfn.XLOOKUP($A24,'bike_sales_CLEAN '!A:A,'bike_sales_CLEAN '!G:G)</f>
        <v>California</v>
      </c>
      <c r="E24" s="5" cm="1">
        <f t="array" ref="E24:J24">_xlfn.XLOOKUP($A24,'bike_sales_CLEAN '!$A:$A,'bike_sales_CLEAN '!$K:$P)</f>
        <v>4</v>
      </c>
      <c r="F24" s="9">
        <v>1252</v>
      </c>
      <c r="G24" s="9">
        <v>2295</v>
      </c>
      <c r="H24" s="9">
        <v>4172</v>
      </c>
      <c r="I24" s="9">
        <v>5008</v>
      </c>
      <c r="J24" s="9">
        <v>9180</v>
      </c>
      <c r="K24" s="5" t="str">
        <f t="shared" si="0"/>
        <v>GOOD</v>
      </c>
    </row>
    <row r="25" spans="1:11" x14ac:dyDescent="0.3">
      <c r="A25" s="5">
        <v>261763</v>
      </c>
      <c r="B25" s="22" t="str">
        <f>_xlfn.XLOOKUP($A25,'bike_sales_CLEAN '!A:A,'bike_sales_CLEAN '!E:E)</f>
        <v>Male</v>
      </c>
      <c r="C25" s="5" t="str">
        <f>_xlfn.XLOOKUP($A25,'bike_sales_CLEAN '!A:A,'bike_sales_CLEAN '!F:F)</f>
        <v>Australia</v>
      </c>
      <c r="D25" s="5" t="str">
        <f>_xlfn.XLOOKUP($A25,'bike_sales_CLEAN '!A:A,'bike_sales_CLEAN '!G:G)</f>
        <v>South Australia</v>
      </c>
      <c r="E25" s="5" cm="1">
        <f t="array" ref="E25:J25">_xlfn.XLOOKUP($A25,'bike_sales_CLEAN '!$A:$A,'bike_sales_CLEAN '!$K:$P)</f>
        <v>2</v>
      </c>
      <c r="F25" s="9">
        <v>295</v>
      </c>
      <c r="G25" s="9">
        <v>540</v>
      </c>
      <c r="H25" s="9">
        <v>490</v>
      </c>
      <c r="I25" s="9">
        <v>590</v>
      </c>
      <c r="J25" s="9">
        <v>1080</v>
      </c>
      <c r="K25" s="5" t="str">
        <f t="shared" si="0"/>
        <v>NOT GOOD</v>
      </c>
    </row>
    <row r="30" spans="1:11" ht="15.6" x14ac:dyDescent="0.3">
      <c r="A30" s="31" t="s">
        <v>252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2" spans="1:11" ht="23.4" x14ac:dyDescent="0.45">
      <c r="E32" s="32" t="s">
        <v>253</v>
      </c>
      <c r="F32" s="32"/>
      <c r="G32" s="32"/>
    </row>
    <row r="33" spans="1:16" ht="15" thickBot="1" x14ac:dyDescent="0.35"/>
    <row r="34" spans="1:16" x14ac:dyDescent="0.3">
      <c r="E34" s="33" t="s">
        <v>55</v>
      </c>
      <c r="F34" s="34"/>
      <c r="G34" s="35"/>
    </row>
    <row r="35" spans="1:16" ht="15" thickBot="1" x14ac:dyDescent="0.35">
      <c r="E35" s="36"/>
      <c r="F35" s="37"/>
      <c r="G35" s="38"/>
    </row>
    <row r="37" spans="1:16" ht="18" x14ac:dyDescent="0.35">
      <c r="A37" s="7" t="s">
        <v>0</v>
      </c>
      <c r="B37" s="7" t="s">
        <v>1</v>
      </c>
      <c r="C37" s="7" t="s">
        <v>2</v>
      </c>
      <c r="D37" s="7" t="s">
        <v>3</v>
      </c>
      <c r="E37" s="7" t="s">
        <v>4</v>
      </c>
      <c r="F37" s="7" t="s">
        <v>5</v>
      </c>
      <c r="G37" s="7" t="s">
        <v>224</v>
      </c>
      <c r="H37" s="7" t="s">
        <v>7</v>
      </c>
      <c r="I37" s="7" t="s">
        <v>8</v>
      </c>
      <c r="J37" s="7" t="s">
        <v>9</v>
      </c>
      <c r="K37" s="7" t="s">
        <v>10</v>
      </c>
      <c r="L37" s="11" t="s">
        <v>11</v>
      </c>
      <c r="M37" s="14" t="s">
        <v>12</v>
      </c>
      <c r="N37" s="8" t="s">
        <v>13</v>
      </c>
      <c r="O37" s="8" t="s">
        <v>14</v>
      </c>
      <c r="P37" s="8" t="s">
        <v>15</v>
      </c>
    </row>
    <row r="38" spans="1:16" x14ac:dyDescent="0.3">
      <c r="A38" cm="1">
        <f t="array" ref="A38:P65">_xlfn._xlws.FILTER('bike_sales_CLEAN '!A1:P79,'bike_sales_CLEAN '!F1:F79='Formula and Functions'!E34)</f>
        <v>261695</v>
      </c>
      <c r="B38" s="19">
        <v>44531</v>
      </c>
      <c r="C38">
        <v>39</v>
      </c>
      <c r="D38" t="str">
        <v>Adults (35-64)</v>
      </c>
      <c r="E38" t="str">
        <v>Female</v>
      </c>
      <c r="F38" s="10" t="str">
        <v>United States</v>
      </c>
      <c r="G38" s="10" t="str">
        <v>California</v>
      </c>
      <c r="H38" s="10" t="str">
        <v>Bikes</v>
      </c>
      <c r="I38" s="10" t="str">
        <v>Mountain Bikes</v>
      </c>
      <c r="J38" s="10" t="str">
        <v>Mountain-200 Black, 46</v>
      </c>
      <c r="K38">
        <v>4</v>
      </c>
      <c r="L38">
        <v>1252</v>
      </c>
      <c r="M38">
        <v>2295</v>
      </c>
      <c r="N38">
        <v>4172</v>
      </c>
      <c r="O38">
        <v>5008</v>
      </c>
      <c r="P38">
        <v>9180</v>
      </c>
    </row>
    <row r="39" spans="1:16" x14ac:dyDescent="0.3">
      <c r="A39">
        <v>261697</v>
      </c>
      <c r="B39" s="19">
        <v>44532</v>
      </c>
      <c r="C39">
        <v>37</v>
      </c>
      <c r="D39" t="str">
        <v>Adults (35-64)</v>
      </c>
      <c r="E39" t="str">
        <v>Male</v>
      </c>
      <c r="F39" s="10" t="str">
        <v>United States</v>
      </c>
      <c r="G39" s="10" t="str">
        <v>California</v>
      </c>
      <c r="H39" s="10" t="str">
        <v>Bikes</v>
      </c>
      <c r="I39" s="10" t="str">
        <v>Mountain Bikes</v>
      </c>
      <c r="J39" s="10" t="str">
        <v>Mountain-400-W Silver, 46</v>
      </c>
      <c r="K39">
        <v>2</v>
      </c>
      <c r="L39">
        <v>420</v>
      </c>
      <c r="M39">
        <v>769</v>
      </c>
      <c r="N39">
        <v>698</v>
      </c>
      <c r="O39">
        <v>840</v>
      </c>
      <c r="P39">
        <v>1538</v>
      </c>
    </row>
    <row r="40" spans="1:16" x14ac:dyDescent="0.3">
      <c r="A40">
        <v>261699</v>
      </c>
      <c r="B40" s="19">
        <v>44533</v>
      </c>
      <c r="C40">
        <v>37</v>
      </c>
      <c r="D40" t="str">
        <v>Adults (35-64)</v>
      </c>
      <c r="E40" t="str">
        <v>Female</v>
      </c>
      <c r="F40" s="10" t="str">
        <v>United States</v>
      </c>
      <c r="G40" s="10" t="str">
        <v>California</v>
      </c>
      <c r="H40" s="10" t="str">
        <v>Bikes</v>
      </c>
      <c r="I40" s="10" t="str">
        <v>Mountain Bikes</v>
      </c>
      <c r="J40" s="10" t="str">
        <v>Mountain-200 Black, 46</v>
      </c>
      <c r="K40">
        <v>0</v>
      </c>
      <c r="L40">
        <v>0</v>
      </c>
      <c r="M40">
        <v>2295</v>
      </c>
      <c r="N40">
        <v>2086</v>
      </c>
      <c r="O40">
        <v>0</v>
      </c>
      <c r="P40">
        <v>4590</v>
      </c>
    </row>
    <row r="41" spans="1:16" x14ac:dyDescent="0.3">
      <c r="A41">
        <v>261701</v>
      </c>
      <c r="B41" s="19">
        <v>44535</v>
      </c>
      <c r="C41">
        <v>37</v>
      </c>
      <c r="D41" t="str">
        <v>Adults (35-64)</v>
      </c>
      <c r="E41" t="str">
        <v>Male</v>
      </c>
      <c r="F41" s="10" t="str">
        <v>United States</v>
      </c>
      <c r="G41" s="10" t="str">
        <v>Washington</v>
      </c>
      <c r="H41" s="10" t="str">
        <v>Bikes</v>
      </c>
      <c r="I41" s="10" t="str">
        <v>Mountain Bikes</v>
      </c>
      <c r="J41" s="10" t="str">
        <v>Mountain-200 Black, 46</v>
      </c>
      <c r="K41">
        <v>1</v>
      </c>
      <c r="L41">
        <v>1252</v>
      </c>
      <c r="M41">
        <v>2295</v>
      </c>
      <c r="N41">
        <v>1043</v>
      </c>
      <c r="O41">
        <v>1252</v>
      </c>
      <c r="P41">
        <v>2295</v>
      </c>
    </row>
    <row r="42" spans="1:16" x14ac:dyDescent="0.3">
      <c r="A42">
        <v>261703</v>
      </c>
      <c r="B42" s="19">
        <v>44535</v>
      </c>
      <c r="C42">
        <v>39</v>
      </c>
      <c r="D42" t="str">
        <v>Adults (35-64)</v>
      </c>
      <c r="E42" t="str">
        <v>Female</v>
      </c>
      <c r="F42" s="10" t="str">
        <v>United States</v>
      </c>
      <c r="G42" s="10" t="str">
        <v>California</v>
      </c>
      <c r="H42" s="10" t="str">
        <v>Bikes</v>
      </c>
      <c r="I42" s="10" t="str">
        <v>Mountain Bikes</v>
      </c>
      <c r="J42" s="10" t="str">
        <v>Mountain-200 Black, 46</v>
      </c>
      <c r="K42">
        <v>4</v>
      </c>
      <c r="L42">
        <v>1252</v>
      </c>
      <c r="M42">
        <v>2295</v>
      </c>
      <c r="N42">
        <v>4172</v>
      </c>
      <c r="O42">
        <v>5008</v>
      </c>
      <c r="P42">
        <v>9180</v>
      </c>
    </row>
    <row r="43" spans="1:16" x14ac:dyDescent="0.3">
      <c r="A43">
        <v>261706</v>
      </c>
      <c r="B43" s="19">
        <v>44536</v>
      </c>
      <c r="C43">
        <v>0</v>
      </c>
      <c r="D43" t="str">
        <v>Adults (35-64)</v>
      </c>
      <c r="E43" t="str">
        <v>Female</v>
      </c>
      <c r="F43" s="10" t="str">
        <v>United States</v>
      </c>
      <c r="G43" s="10" t="str">
        <v>California</v>
      </c>
      <c r="H43" s="10" t="str">
        <v>Bikes</v>
      </c>
      <c r="I43" s="10" t="str">
        <v>Mountain Bikes</v>
      </c>
      <c r="J43" s="10" t="str">
        <v>Mountain-200 Black, 46</v>
      </c>
      <c r="K43">
        <v>1</v>
      </c>
      <c r="L43">
        <v>1252</v>
      </c>
      <c r="M43">
        <v>2295</v>
      </c>
      <c r="N43">
        <v>1043</v>
      </c>
      <c r="O43">
        <v>1252</v>
      </c>
      <c r="P43">
        <v>2295</v>
      </c>
    </row>
    <row r="44" spans="1:16" x14ac:dyDescent="0.3">
      <c r="A44">
        <v>261711</v>
      </c>
      <c r="B44" s="19">
        <v>44539</v>
      </c>
      <c r="C44">
        <v>30</v>
      </c>
      <c r="D44" t="str">
        <v>Null</v>
      </c>
      <c r="E44" t="str">
        <v>Male</v>
      </c>
      <c r="F44" s="10" t="str">
        <v>United States</v>
      </c>
      <c r="G44" s="10" t="str">
        <v>California</v>
      </c>
      <c r="H44" s="10" t="str">
        <v>Bikes</v>
      </c>
      <c r="I44" s="10" t="str">
        <v>Mountain Bikes</v>
      </c>
      <c r="J44" s="10" t="str">
        <v>Mountain-400-W Silver, 38</v>
      </c>
      <c r="K44">
        <v>4</v>
      </c>
      <c r="L44">
        <v>420</v>
      </c>
      <c r="M44">
        <v>769</v>
      </c>
      <c r="N44">
        <v>1396</v>
      </c>
      <c r="O44">
        <v>1680</v>
      </c>
      <c r="P44">
        <v>3076</v>
      </c>
    </row>
    <row r="45" spans="1:16" x14ac:dyDescent="0.3">
      <c r="A45">
        <v>261712</v>
      </c>
      <c r="B45" s="19">
        <v>44539</v>
      </c>
      <c r="C45">
        <v>38</v>
      </c>
      <c r="D45" t="str">
        <v>Adults (35-64)</v>
      </c>
      <c r="E45" t="str">
        <v>Male</v>
      </c>
      <c r="F45" s="10" t="str">
        <v>United States</v>
      </c>
      <c r="G45" s="10" t="str">
        <v>California</v>
      </c>
      <c r="H45" s="10" t="str">
        <v>Bikes</v>
      </c>
      <c r="I45" s="10" t="str">
        <v>Mountain Bikes</v>
      </c>
      <c r="J45" s="10" t="str">
        <v>Mountain-200 Silver, 42</v>
      </c>
      <c r="K45">
        <v>2</v>
      </c>
      <c r="L45">
        <v>1266</v>
      </c>
      <c r="M45">
        <v>2320</v>
      </c>
      <c r="N45">
        <v>2108</v>
      </c>
      <c r="O45">
        <v>2532</v>
      </c>
      <c r="P45">
        <v>4640</v>
      </c>
    </row>
    <row r="46" spans="1:16" x14ac:dyDescent="0.3">
      <c r="A46">
        <v>261715</v>
      </c>
      <c r="B46" s="19">
        <v>44540</v>
      </c>
      <c r="C46">
        <v>39</v>
      </c>
      <c r="D46" t="str">
        <v>Adults (35-64)</v>
      </c>
      <c r="E46" t="str">
        <v>Female</v>
      </c>
      <c r="F46" s="10" t="str">
        <v>United States</v>
      </c>
      <c r="G46" s="10" t="str">
        <v>Oregon</v>
      </c>
      <c r="H46" s="10" t="str">
        <v>Bikes</v>
      </c>
      <c r="I46" s="10" t="str">
        <v>Mountain Bikes</v>
      </c>
      <c r="J46" s="10" t="str">
        <v>Null</v>
      </c>
      <c r="K46">
        <v>2</v>
      </c>
      <c r="L46">
        <v>1252</v>
      </c>
      <c r="M46">
        <v>2295</v>
      </c>
      <c r="N46">
        <v>2086</v>
      </c>
      <c r="O46">
        <v>2504</v>
      </c>
      <c r="P46">
        <v>4590</v>
      </c>
    </row>
    <row r="47" spans="1:16" x14ac:dyDescent="0.3">
      <c r="A47">
        <v>261716</v>
      </c>
      <c r="B47" s="19">
        <v>44540</v>
      </c>
      <c r="C47">
        <v>35</v>
      </c>
      <c r="D47" t="str">
        <v>Adults (35-64)</v>
      </c>
      <c r="E47" t="str">
        <v>Female</v>
      </c>
      <c r="F47" s="10" t="str">
        <v>United States</v>
      </c>
      <c r="G47" s="10" t="str">
        <v>California</v>
      </c>
      <c r="H47" s="10" t="str">
        <v>Bikes</v>
      </c>
      <c r="I47" s="10" t="str">
        <v>Mountain Bikes</v>
      </c>
      <c r="J47" s="10" t="str">
        <v>Mountain-500 Black, 42</v>
      </c>
      <c r="K47">
        <v>0</v>
      </c>
      <c r="L47">
        <v>295</v>
      </c>
      <c r="M47">
        <v>540</v>
      </c>
      <c r="N47">
        <v>245</v>
      </c>
      <c r="O47">
        <v>0</v>
      </c>
      <c r="P47">
        <v>0</v>
      </c>
    </row>
    <row r="48" spans="1:16" x14ac:dyDescent="0.3">
      <c r="A48">
        <v>261719</v>
      </c>
      <c r="B48" s="19">
        <v>44541</v>
      </c>
      <c r="C48">
        <v>34</v>
      </c>
      <c r="D48" t="str">
        <v>Young Adults (25-34)</v>
      </c>
      <c r="E48" t="str">
        <v>Female</v>
      </c>
      <c r="F48" s="10" t="str">
        <v>United States</v>
      </c>
      <c r="G48" s="10" t="str">
        <v>California</v>
      </c>
      <c r="H48" s="10" t="str">
        <v>Bikes</v>
      </c>
      <c r="I48" s="10" t="str">
        <v>Mountain Bikes</v>
      </c>
      <c r="J48" s="10" t="str">
        <v>Mountain-200 Black, 42</v>
      </c>
      <c r="K48">
        <v>2</v>
      </c>
      <c r="L48">
        <v>1252</v>
      </c>
      <c r="M48">
        <v>2295</v>
      </c>
      <c r="N48">
        <v>2086</v>
      </c>
      <c r="O48">
        <v>2504</v>
      </c>
      <c r="P48">
        <v>4590</v>
      </c>
    </row>
    <row r="49" spans="1:16" x14ac:dyDescent="0.3">
      <c r="A49">
        <v>261722</v>
      </c>
      <c r="B49" s="19">
        <v>44541</v>
      </c>
      <c r="C49">
        <v>34</v>
      </c>
      <c r="D49" t="str">
        <v>Young Adults (25-34)</v>
      </c>
      <c r="E49" t="str">
        <v>Male</v>
      </c>
      <c r="F49" s="10" t="str">
        <v>United States</v>
      </c>
      <c r="G49" s="10" t="str">
        <v>California</v>
      </c>
      <c r="H49" s="10" t="str">
        <v>Bikes</v>
      </c>
      <c r="I49" s="10" t="str">
        <v>Mountain Bikes</v>
      </c>
      <c r="J49" s="10" t="str">
        <v>Mountain-500 Black, 40</v>
      </c>
      <c r="K49">
        <v>1</v>
      </c>
      <c r="L49">
        <v>295</v>
      </c>
      <c r="M49">
        <v>540</v>
      </c>
      <c r="N49">
        <v>245</v>
      </c>
      <c r="O49">
        <v>295</v>
      </c>
      <c r="P49">
        <v>540</v>
      </c>
    </row>
    <row r="50" spans="1:16" x14ac:dyDescent="0.3">
      <c r="A50">
        <v>261723</v>
      </c>
      <c r="B50" s="19">
        <v>44542</v>
      </c>
      <c r="C50">
        <v>34</v>
      </c>
      <c r="D50" t="str">
        <v>Young Adults (25-34)</v>
      </c>
      <c r="E50" t="str">
        <v>Female</v>
      </c>
      <c r="F50" s="10" t="str">
        <v>United States</v>
      </c>
      <c r="G50" s="10" t="str">
        <v>Washington</v>
      </c>
      <c r="H50" s="10" t="str">
        <v>Bikes</v>
      </c>
      <c r="I50" s="10" t="str">
        <v>Mountain Bikes</v>
      </c>
      <c r="J50" s="10" t="str">
        <v>Mountain-100 Silver, 44</v>
      </c>
      <c r="K50">
        <v>1</v>
      </c>
      <c r="L50">
        <v>1912</v>
      </c>
      <c r="M50">
        <v>3400</v>
      </c>
      <c r="N50">
        <v>1488</v>
      </c>
      <c r="O50">
        <v>1912</v>
      </c>
      <c r="P50">
        <v>3400</v>
      </c>
    </row>
    <row r="51" spans="1:16" x14ac:dyDescent="0.3">
      <c r="A51">
        <v>261728</v>
      </c>
      <c r="B51" s="19">
        <v>44543</v>
      </c>
      <c r="C51">
        <v>37</v>
      </c>
      <c r="D51" t="str">
        <v>Adults (35-64)</v>
      </c>
      <c r="E51" t="str">
        <v>Male</v>
      </c>
      <c r="F51" s="10" t="str">
        <v>United States</v>
      </c>
      <c r="G51" s="10" t="str">
        <v>California</v>
      </c>
      <c r="H51" s="10" t="str">
        <v>Bikes</v>
      </c>
      <c r="I51" s="10" t="str">
        <v>Mountain Bikes</v>
      </c>
      <c r="J51" s="10" t="str">
        <v>Mountain-400-W Silver, 46</v>
      </c>
      <c r="K51">
        <v>1</v>
      </c>
      <c r="L51">
        <v>420</v>
      </c>
      <c r="M51">
        <v>769</v>
      </c>
      <c r="N51">
        <v>349</v>
      </c>
      <c r="O51">
        <v>420</v>
      </c>
      <c r="P51">
        <v>769</v>
      </c>
    </row>
    <row r="52" spans="1:16" x14ac:dyDescent="0.3">
      <c r="A52">
        <v>261729</v>
      </c>
      <c r="B52" s="19">
        <v>44544</v>
      </c>
      <c r="C52">
        <v>38</v>
      </c>
      <c r="D52" t="str">
        <v>Adults (35-64)</v>
      </c>
      <c r="E52" t="str">
        <v>Female</v>
      </c>
      <c r="F52" s="10" t="str">
        <v>United States</v>
      </c>
      <c r="G52" s="10" t="str">
        <v>California</v>
      </c>
      <c r="H52" s="10" t="str">
        <v>Bikes</v>
      </c>
      <c r="I52" s="10" t="str">
        <v>Mountain Bikes</v>
      </c>
      <c r="J52" s="10" t="str">
        <v>Mountain-200 Silver, 38</v>
      </c>
      <c r="K52">
        <v>1</v>
      </c>
      <c r="L52">
        <v>1266</v>
      </c>
      <c r="M52">
        <v>2320</v>
      </c>
      <c r="N52">
        <v>1054</v>
      </c>
      <c r="O52">
        <v>1266</v>
      </c>
      <c r="P52">
        <v>2320</v>
      </c>
    </row>
    <row r="53" spans="1:16" x14ac:dyDescent="0.3">
      <c r="A53">
        <v>261731</v>
      </c>
      <c r="B53" s="19">
        <v>44544</v>
      </c>
      <c r="C53">
        <v>37</v>
      </c>
      <c r="D53" t="str">
        <v>Adults (35-64)</v>
      </c>
      <c r="E53" t="str">
        <v>Male</v>
      </c>
      <c r="F53" s="10" t="str">
        <v>United States</v>
      </c>
      <c r="G53" s="10" t="str">
        <v>California</v>
      </c>
      <c r="H53" s="10" t="str">
        <v>Bikes</v>
      </c>
      <c r="I53" s="10" t="str">
        <v>Mountain Bikes</v>
      </c>
      <c r="J53" s="10" t="str">
        <v>Mountain-400-W Silver, 46</v>
      </c>
      <c r="K53">
        <v>4</v>
      </c>
      <c r="L53">
        <v>420</v>
      </c>
      <c r="M53">
        <v>769</v>
      </c>
      <c r="N53">
        <v>1396</v>
      </c>
      <c r="O53">
        <v>1680</v>
      </c>
      <c r="P53">
        <v>3076</v>
      </c>
    </row>
    <row r="54" spans="1:16" x14ac:dyDescent="0.3">
      <c r="A54">
        <v>261734</v>
      </c>
      <c r="B54" s="19">
        <v>44546</v>
      </c>
      <c r="C54">
        <v>38</v>
      </c>
      <c r="D54" t="str">
        <v>Null</v>
      </c>
      <c r="E54" t="str">
        <v>Female</v>
      </c>
      <c r="F54" s="10" t="str">
        <v>United States</v>
      </c>
      <c r="G54" s="10" t="str">
        <v>Washington</v>
      </c>
      <c r="H54" s="10" t="str">
        <v>Bikes</v>
      </c>
      <c r="I54" s="10" t="str">
        <v>Mountain Bikes</v>
      </c>
      <c r="J54" s="10" t="str">
        <v>Mountain-200 Silver, 42</v>
      </c>
      <c r="K54">
        <v>1</v>
      </c>
      <c r="L54">
        <v>1266</v>
      </c>
      <c r="M54">
        <v>2320</v>
      </c>
      <c r="N54">
        <v>1054</v>
      </c>
      <c r="O54">
        <v>1266</v>
      </c>
      <c r="P54">
        <v>2320</v>
      </c>
    </row>
    <row r="55" spans="1:16" x14ac:dyDescent="0.3">
      <c r="A55">
        <v>261736</v>
      </c>
      <c r="B55" s="19">
        <v>44547</v>
      </c>
      <c r="C55">
        <v>40</v>
      </c>
      <c r="D55" t="str">
        <v>Adults (35-64)</v>
      </c>
      <c r="E55" t="str">
        <v>Female</v>
      </c>
      <c r="F55" s="10" t="str">
        <v>United States</v>
      </c>
      <c r="G55" s="10" t="str">
        <v>California</v>
      </c>
      <c r="H55" s="10" t="str">
        <v>Bikes</v>
      </c>
      <c r="I55" s="10" t="str">
        <v>Mountain Bikes</v>
      </c>
      <c r="J55" s="10" t="str">
        <v>Mountain-500 Silver, 40</v>
      </c>
      <c r="K55">
        <v>1</v>
      </c>
      <c r="L55">
        <v>308</v>
      </c>
      <c r="M55">
        <v>565</v>
      </c>
      <c r="N55">
        <v>257</v>
      </c>
      <c r="O55">
        <v>308</v>
      </c>
      <c r="P55">
        <v>565</v>
      </c>
    </row>
    <row r="56" spans="1:16" x14ac:dyDescent="0.3">
      <c r="A56">
        <v>261739</v>
      </c>
      <c r="B56" s="19">
        <v>44548</v>
      </c>
      <c r="C56">
        <v>30</v>
      </c>
      <c r="D56" t="str">
        <v>Young Adults (25-34)</v>
      </c>
      <c r="E56" t="str">
        <v>Female</v>
      </c>
      <c r="F56" s="10" t="str">
        <v>United States</v>
      </c>
      <c r="G56" s="10" t="str">
        <v>Washington</v>
      </c>
      <c r="H56" s="10" t="str">
        <v>Bikes</v>
      </c>
      <c r="I56" s="10" t="str">
        <v>Mountain Bikes</v>
      </c>
      <c r="J56" s="10" t="str">
        <v>Mountain-200 Silver, 38</v>
      </c>
      <c r="K56">
        <v>2</v>
      </c>
      <c r="L56">
        <v>1266</v>
      </c>
      <c r="M56">
        <v>2320</v>
      </c>
      <c r="N56">
        <v>2108</v>
      </c>
      <c r="O56">
        <v>2532</v>
      </c>
      <c r="P56">
        <v>4640</v>
      </c>
    </row>
    <row r="57" spans="1:16" x14ac:dyDescent="0.3">
      <c r="A57">
        <v>261740</v>
      </c>
      <c r="B57" s="19">
        <v>44548</v>
      </c>
      <c r="C57">
        <v>32</v>
      </c>
      <c r="D57" t="str">
        <v>Young Adults (25-34)</v>
      </c>
      <c r="E57" t="str">
        <v>Male</v>
      </c>
      <c r="F57" s="10" t="str">
        <v>United States</v>
      </c>
      <c r="G57" s="10" t="str">
        <v>California</v>
      </c>
      <c r="H57" s="10" t="str">
        <v>Bikes</v>
      </c>
      <c r="I57" s="10" t="str">
        <v>Mountain Bikes</v>
      </c>
      <c r="J57" s="10" t="str">
        <v>Mountain-200 Black, 46</v>
      </c>
      <c r="K57">
        <v>1</v>
      </c>
      <c r="L57">
        <v>1252</v>
      </c>
      <c r="M57">
        <v>2295</v>
      </c>
      <c r="N57">
        <v>1043</v>
      </c>
      <c r="O57">
        <v>1252</v>
      </c>
      <c r="P57">
        <v>2295</v>
      </c>
    </row>
    <row r="58" spans="1:16" x14ac:dyDescent="0.3">
      <c r="A58">
        <v>261742</v>
      </c>
      <c r="B58" s="19">
        <v>44548</v>
      </c>
      <c r="C58">
        <v>29</v>
      </c>
      <c r="D58" t="str">
        <v>Young Adults (25-34)</v>
      </c>
      <c r="E58" t="str">
        <v>Female</v>
      </c>
      <c r="F58" s="10" t="str">
        <v>United States</v>
      </c>
      <c r="G58" s="10" t="str">
        <v>California</v>
      </c>
      <c r="H58" s="10" t="str">
        <v>Bikes</v>
      </c>
      <c r="I58" s="10" t="str">
        <v>Mountain Bikes</v>
      </c>
      <c r="J58" s="10" t="str">
        <v>Mountain-200 Silver, 42</v>
      </c>
      <c r="K58">
        <v>1</v>
      </c>
      <c r="L58">
        <v>1266</v>
      </c>
      <c r="M58">
        <v>2320</v>
      </c>
      <c r="N58">
        <v>1054</v>
      </c>
      <c r="O58">
        <v>1266</v>
      </c>
      <c r="P58">
        <v>2320</v>
      </c>
    </row>
    <row r="59" spans="1:16" x14ac:dyDescent="0.3">
      <c r="A59">
        <v>261746</v>
      </c>
      <c r="B59" s="19">
        <v>44549</v>
      </c>
      <c r="C59">
        <v>37</v>
      </c>
      <c r="D59" t="str">
        <v>Adults (35-64)</v>
      </c>
      <c r="E59" t="str">
        <v>Female</v>
      </c>
      <c r="F59" s="10" t="str">
        <v>United States</v>
      </c>
      <c r="G59" s="10" t="str">
        <v>Washington</v>
      </c>
      <c r="H59" s="10" t="str">
        <v>Bikes</v>
      </c>
      <c r="I59" s="10" t="str">
        <v>Mountain Bikes</v>
      </c>
      <c r="J59" s="10" t="str">
        <v>Mountain-200 Silver, 38</v>
      </c>
      <c r="K59">
        <v>2</v>
      </c>
      <c r="L59">
        <v>1266</v>
      </c>
      <c r="M59">
        <v>2320</v>
      </c>
      <c r="N59">
        <v>2108</v>
      </c>
      <c r="O59">
        <v>2532</v>
      </c>
      <c r="P59">
        <v>4640</v>
      </c>
    </row>
    <row r="60" spans="1:16" x14ac:dyDescent="0.3">
      <c r="A60">
        <v>261753</v>
      </c>
      <c r="B60" s="19">
        <v>44550</v>
      </c>
      <c r="C60">
        <v>39</v>
      </c>
      <c r="D60" t="str">
        <v>Adults (35-64)</v>
      </c>
      <c r="E60" t="str">
        <v>Male</v>
      </c>
      <c r="F60" s="10" t="str">
        <v>United States</v>
      </c>
      <c r="G60" s="10" t="str">
        <v>California</v>
      </c>
      <c r="H60" s="10" t="str">
        <v>Bikes</v>
      </c>
      <c r="I60" s="10" t="str">
        <v>Mountain Bikes</v>
      </c>
      <c r="J60" s="10" t="str">
        <v>Mountain-200 Black, 42</v>
      </c>
      <c r="K60">
        <v>3</v>
      </c>
      <c r="L60">
        <v>1252</v>
      </c>
      <c r="M60">
        <v>2295</v>
      </c>
      <c r="N60">
        <v>3129</v>
      </c>
      <c r="O60">
        <v>3756</v>
      </c>
      <c r="P60">
        <v>6885</v>
      </c>
    </row>
    <row r="61" spans="1:16" x14ac:dyDescent="0.3">
      <c r="A61">
        <v>261755</v>
      </c>
      <c r="B61" s="19">
        <v>44550</v>
      </c>
      <c r="C61">
        <v>36</v>
      </c>
      <c r="D61" t="str">
        <v>Adults (35-64)</v>
      </c>
      <c r="E61" t="str">
        <v>Male</v>
      </c>
      <c r="F61" s="10" t="str">
        <v>United States</v>
      </c>
      <c r="G61" s="10" t="str">
        <v>Washington</v>
      </c>
      <c r="H61" s="10" t="str">
        <v>Bikes</v>
      </c>
      <c r="I61" s="10" t="str">
        <v>Mountain Bikes</v>
      </c>
      <c r="J61" s="10" t="str">
        <v>Mountain-200 Silver, 38</v>
      </c>
      <c r="K61">
        <v>1</v>
      </c>
      <c r="L61">
        <v>1266</v>
      </c>
      <c r="M61">
        <v>2320</v>
      </c>
      <c r="N61">
        <v>1054</v>
      </c>
      <c r="O61">
        <v>1266</v>
      </c>
      <c r="P61">
        <v>2320</v>
      </c>
    </row>
    <row r="62" spans="1:16" x14ac:dyDescent="0.3">
      <c r="A62">
        <v>261759</v>
      </c>
      <c r="B62" s="19">
        <v>44552</v>
      </c>
      <c r="C62">
        <v>35</v>
      </c>
      <c r="D62" t="str">
        <v>Adults (35-64)</v>
      </c>
      <c r="E62" t="str">
        <v>Female</v>
      </c>
      <c r="F62" s="10" t="str">
        <v>United States</v>
      </c>
      <c r="G62" s="10" t="str">
        <v>Oregon</v>
      </c>
      <c r="H62" s="10" t="str">
        <v>Bikes</v>
      </c>
      <c r="I62" s="10" t="str">
        <v>Mountain Bikes</v>
      </c>
      <c r="J62" s="10" t="str">
        <v>Mountain-100 Black, 48</v>
      </c>
      <c r="K62">
        <v>4</v>
      </c>
      <c r="L62">
        <v>1898</v>
      </c>
      <c r="M62">
        <v>3375</v>
      </c>
      <c r="N62">
        <v>5908</v>
      </c>
      <c r="O62">
        <v>7592</v>
      </c>
      <c r="P62">
        <v>13500</v>
      </c>
    </row>
    <row r="63" spans="1:16" x14ac:dyDescent="0.3">
      <c r="A63">
        <v>261760</v>
      </c>
      <c r="B63" s="19">
        <v>44552</v>
      </c>
      <c r="C63">
        <v>37</v>
      </c>
      <c r="D63" t="str">
        <v>Adults (35-64)</v>
      </c>
      <c r="E63" t="str">
        <v>Male</v>
      </c>
      <c r="F63" s="10" t="str">
        <v>United States</v>
      </c>
      <c r="G63" s="10" t="str">
        <v>Oregon</v>
      </c>
      <c r="H63" s="10" t="str">
        <v>Bikes</v>
      </c>
      <c r="I63" s="10" t="str">
        <v>Mountain Bikes</v>
      </c>
      <c r="J63" s="10" t="str">
        <v>Mountain-200 Black, 38</v>
      </c>
      <c r="K63">
        <v>4</v>
      </c>
      <c r="L63">
        <v>1252</v>
      </c>
      <c r="M63">
        <v>2295</v>
      </c>
      <c r="N63">
        <v>4172</v>
      </c>
      <c r="O63">
        <v>5008</v>
      </c>
      <c r="P63">
        <v>9180</v>
      </c>
    </row>
    <row r="64" spans="1:16" x14ac:dyDescent="0.3">
      <c r="A64">
        <v>261761</v>
      </c>
      <c r="B64" s="19">
        <v>44552</v>
      </c>
      <c r="C64">
        <v>39</v>
      </c>
      <c r="D64" t="str">
        <v>Adults (35-64)</v>
      </c>
      <c r="E64" t="str">
        <v>Female</v>
      </c>
      <c r="F64" s="10" t="str">
        <v>United States</v>
      </c>
      <c r="G64" s="10" t="str">
        <v>California</v>
      </c>
      <c r="H64" s="10" t="str">
        <v>Bikes</v>
      </c>
      <c r="I64" s="10" t="str">
        <v>Mountain Bikes</v>
      </c>
      <c r="J64" s="10" t="str">
        <v>Mountain-200 Black, 46</v>
      </c>
      <c r="K64">
        <v>4</v>
      </c>
      <c r="L64">
        <v>1252</v>
      </c>
      <c r="M64">
        <v>2295</v>
      </c>
      <c r="N64">
        <v>4172</v>
      </c>
      <c r="O64">
        <v>5008</v>
      </c>
      <c r="P64">
        <v>9180</v>
      </c>
    </row>
    <row r="65" spans="1:16" x14ac:dyDescent="0.3">
      <c r="A65">
        <v>261765</v>
      </c>
      <c r="B65" s="19">
        <v>44553</v>
      </c>
      <c r="C65">
        <v>39</v>
      </c>
      <c r="D65" t="str">
        <v>Adults (35-64)</v>
      </c>
      <c r="E65" t="str">
        <v>Female</v>
      </c>
      <c r="F65" s="10" t="str">
        <v>United States</v>
      </c>
      <c r="G65" s="10" t="str">
        <v>Washington</v>
      </c>
      <c r="H65" s="10" t="str">
        <v>Bikes</v>
      </c>
      <c r="I65" s="10" t="str">
        <v>Mountain Bikes</v>
      </c>
      <c r="J65" s="10" t="str">
        <v>Mountain-200 Silver, 38</v>
      </c>
      <c r="K65">
        <v>1</v>
      </c>
      <c r="L65">
        <v>1266</v>
      </c>
      <c r="M65">
        <v>2320</v>
      </c>
      <c r="N65">
        <v>1054</v>
      </c>
      <c r="O65">
        <v>1266</v>
      </c>
      <c r="P65">
        <v>2320</v>
      </c>
    </row>
  </sheetData>
  <mergeCells count="5">
    <mergeCell ref="A1:J1"/>
    <mergeCell ref="A15:J15"/>
    <mergeCell ref="A30:K30"/>
    <mergeCell ref="E32:G32"/>
    <mergeCell ref="E34:G35"/>
  </mergeCells>
  <conditionalFormatting sqref="A2">
    <cfRule type="duplicateValues" dxfId="2" priority="3"/>
  </conditionalFormatting>
  <conditionalFormatting sqref="A16">
    <cfRule type="duplicateValues" dxfId="1" priority="2"/>
  </conditionalFormatting>
  <conditionalFormatting sqref="A37">
    <cfRule type="duplicateValues" dxfId="0" priority="1"/>
  </conditionalFormatting>
  <dataValidations count="1">
    <dataValidation type="list" allowBlank="1" showInputMessage="1" showErrorMessage="1" sqref="E34" xr:uid="{D93C106B-BB39-4C3F-9EA8-EC318CD995F1}">
      <formula1>"United Kingdom, United States, France, Canada, Germany, Australia"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7532-37C7-4128-8D2D-A2E0D267B7DC}">
  <dimension ref="A3:F10"/>
  <sheetViews>
    <sheetView workbookViewId="0">
      <selection activeCell="B17" sqref="B17"/>
    </sheetView>
  </sheetViews>
  <sheetFormatPr defaultRowHeight="14.4" x14ac:dyDescent="0.3"/>
  <cols>
    <col min="1" max="1" width="16.77734375" bestFit="1" customWidth="1"/>
    <col min="2" max="2" width="14.88671875" bestFit="1" customWidth="1"/>
    <col min="3" max="3" width="11.109375" bestFit="1" customWidth="1"/>
    <col min="4" max="4" width="12.77734375" bestFit="1" customWidth="1"/>
    <col min="5" max="5" width="16.21875" bestFit="1" customWidth="1"/>
    <col min="6" max="8" width="15.77734375" bestFit="1" customWidth="1"/>
  </cols>
  <sheetData>
    <row r="3" spans="1:6" x14ac:dyDescent="0.3">
      <c r="A3" s="27" t="s">
        <v>251</v>
      </c>
      <c r="B3" t="s">
        <v>246</v>
      </c>
      <c r="C3" t="s">
        <v>247</v>
      </c>
      <c r="D3" t="s">
        <v>248</v>
      </c>
      <c r="E3" t="s">
        <v>249</v>
      </c>
      <c r="F3" t="s">
        <v>250</v>
      </c>
    </row>
    <row r="4" spans="1:6" x14ac:dyDescent="0.3">
      <c r="A4" s="28" t="s">
        <v>99</v>
      </c>
      <c r="B4" s="10">
        <v>107865</v>
      </c>
      <c r="C4">
        <v>60872</v>
      </c>
      <c r="D4" s="10">
        <v>50069</v>
      </c>
      <c r="E4" s="10">
        <v>46611</v>
      </c>
      <c r="F4" s="10">
        <v>25966</v>
      </c>
    </row>
    <row r="5" spans="1:6" x14ac:dyDescent="0.3">
      <c r="A5" s="28" t="s">
        <v>214</v>
      </c>
      <c r="B5" s="10">
        <v>15490</v>
      </c>
      <c r="C5">
        <v>8453</v>
      </c>
      <c r="D5" s="10">
        <v>7037</v>
      </c>
      <c r="E5" s="10">
        <v>7450</v>
      </c>
      <c r="F5" s="10">
        <v>4065</v>
      </c>
    </row>
    <row r="6" spans="1:6" x14ac:dyDescent="0.3">
      <c r="A6" s="28" t="s">
        <v>208</v>
      </c>
      <c r="B6" s="10">
        <v>43880</v>
      </c>
      <c r="C6">
        <v>23942</v>
      </c>
      <c r="D6" s="10">
        <v>19938</v>
      </c>
      <c r="E6" s="10">
        <v>16165</v>
      </c>
      <c r="F6" s="10">
        <v>8820</v>
      </c>
    </row>
    <row r="7" spans="1:6" x14ac:dyDescent="0.3">
      <c r="A7" s="28" t="s">
        <v>122</v>
      </c>
      <c r="B7" s="10">
        <v>27690</v>
      </c>
      <c r="C7">
        <v>15108</v>
      </c>
      <c r="D7" s="10">
        <v>12582</v>
      </c>
      <c r="E7" s="10">
        <v>11550</v>
      </c>
      <c r="F7" s="10">
        <v>6302</v>
      </c>
    </row>
    <row r="8" spans="1:6" x14ac:dyDescent="0.3">
      <c r="A8" s="28" t="s">
        <v>213</v>
      </c>
      <c r="B8" s="10">
        <v>18434</v>
      </c>
      <c r="C8">
        <v>10060</v>
      </c>
      <c r="D8" s="10">
        <v>8374</v>
      </c>
      <c r="E8" s="10">
        <v>15358</v>
      </c>
      <c r="F8" s="10">
        <v>8380</v>
      </c>
    </row>
    <row r="9" spans="1:6" x14ac:dyDescent="0.3">
      <c r="A9" s="28" t="s">
        <v>55</v>
      </c>
      <c r="B9" s="10">
        <v>116244</v>
      </c>
      <c r="C9">
        <v>61205</v>
      </c>
      <c r="D9" s="10">
        <v>52780</v>
      </c>
      <c r="E9" s="10">
        <v>55301</v>
      </c>
      <c r="F9" s="10">
        <v>29036</v>
      </c>
    </row>
    <row r="10" spans="1:6" x14ac:dyDescent="0.3">
      <c r="A10" s="28" t="s">
        <v>245</v>
      </c>
      <c r="B10" s="10">
        <v>329603</v>
      </c>
      <c r="C10">
        <v>179640</v>
      </c>
      <c r="D10" s="10">
        <v>150780</v>
      </c>
      <c r="E10" s="10">
        <v>152435</v>
      </c>
      <c r="F10" s="10">
        <v>82569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bike_sales_UNCLEAN</vt:lpstr>
      <vt:lpstr>bike_sales_CLEAN </vt:lpstr>
      <vt:lpstr>Formula and Functions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Mayank Mahi</cp:lastModifiedBy>
  <dcterms:created xsi:type="dcterms:W3CDTF">2026-03-13T18:06:17Z</dcterms:created>
  <dcterms:modified xsi:type="dcterms:W3CDTF">2026-03-29T17:01:21Z</dcterms:modified>
</cp:coreProperties>
</file>